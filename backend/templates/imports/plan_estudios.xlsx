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EVIN GARCIA\Downloads\"/>
    </mc:Choice>
  </mc:AlternateContent>
  <xr:revisionPtr revIDLastSave="0" documentId="8_{EBB602B6-72B8-42C6-BF00-2F7BB5252980}" xr6:coauthVersionLast="47" xr6:coauthVersionMax="47" xr10:uidLastSave="{00000000-0000-0000-0000-000000000000}"/>
  <bookViews>
    <workbookView xWindow="5685" yWindow="3330" windowWidth="28800" windowHeight="15345" activeTab="2" xr2:uid="{BFAFC3F3-9963-4AA7-99AB-0B05C5417A9B}"/>
  </bookViews>
  <sheets>
    <sheet name="INICIAL 2020" sheetId="8" r:id="rId1"/>
    <sheet name="PRIMARIA 2020 " sheetId="10" r:id="rId2"/>
    <sheet name="ED. FISICA 2020" sheetId="9" r:id="rId3"/>
    <sheet name="COMUNICACIÓN 2020 " sheetId="11" r:id="rId4"/>
  </sheets>
  <definedNames>
    <definedName name="_xlnm.Print_Area" localSheetId="3">'COMUNICACIÓN 2020 '!$A$1:$I$85</definedName>
    <definedName name="_xlnm.Print_Area" localSheetId="2">'ED. FISICA 2020'!$A$1:$I$86</definedName>
    <definedName name="_xlnm.Print_Area" localSheetId="0">'INICIAL 2020'!$A$1:$I$87</definedName>
    <definedName name="_xlnm.Print_Area" localSheetId="1">'PRIMARIA 2020 '!$A$1:$I$87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7" i="8" l="1"/>
  <c r="I25" i="11"/>
  <c r="I46" i="9"/>
  <c r="I39" i="9"/>
  <c r="I32" i="9"/>
  <c r="I25" i="9"/>
  <c r="I68" i="8"/>
  <c r="I39" i="8"/>
  <c r="I55" i="11"/>
  <c r="I61" i="11"/>
  <c r="I66" i="11"/>
  <c r="I46" i="11"/>
  <c r="I70" i="11"/>
  <c r="I68" i="11"/>
  <c r="I39" i="11"/>
  <c r="I32" i="11"/>
  <c r="I19" i="11"/>
  <c r="I72" i="10"/>
  <c r="I70" i="10"/>
  <c r="I68" i="10"/>
  <c r="I63" i="10"/>
  <c r="I57" i="10"/>
  <c r="I46" i="10"/>
  <c r="I39" i="10"/>
  <c r="I32" i="10"/>
  <c r="I25" i="10"/>
  <c r="I19" i="10"/>
  <c r="I71" i="9"/>
  <c r="I69" i="9"/>
  <c r="I67" i="9"/>
  <c r="I62" i="9"/>
  <c r="I56" i="9"/>
  <c r="I19" i="9"/>
  <c r="I72" i="8"/>
  <c r="I70" i="8"/>
  <c r="I63" i="8"/>
  <c r="I46" i="8"/>
  <c r="I32" i="8"/>
  <c r="I25" i="8"/>
  <c r="I19" i="8"/>
</calcChain>
</file>

<file path=xl/sharedStrings.xml><?xml version="1.0" encoding="utf-8"?>
<sst xmlns="http://schemas.openxmlformats.org/spreadsheetml/2006/main" count="346" uniqueCount="174">
  <si>
    <t>AREAS / ASIGNATURAS</t>
  </si>
  <si>
    <t>CRED.</t>
  </si>
  <si>
    <t>PTJE.</t>
  </si>
  <si>
    <t>FECHA</t>
  </si>
  <si>
    <t>OBSERVACIÓN</t>
  </si>
  <si>
    <t>PUNT.</t>
  </si>
  <si>
    <t>P R I M E R O</t>
  </si>
  <si>
    <t>S E G U N D O</t>
  </si>
  <si>
    <t>Q U I N T O</t>
  </si>
  <si>
    <t>S E X T O</t>
  </si>
  <si>
    <t>S E P T I M O</t>
  </si>
  <si>
    <t>O C T A V O</t>
  </si>
  <si>
    <t>NOVENO</t>
  </si>
  <si>
    <t>DECIMO</t>
  </si>
  <si>
    <t>C U A R T O</t>
  </si>
  <si>
    <t>T E R C E R O</t>
  </si>
  <si>
    <t>Pomachaca, ……….. de ………………………. del ………….</t>
  </si>
  <si>
    <t>}</t>
  </si>
  <si>
    <t>HORA</t>
  </si>
  <si>
    <t xml:space="preserve">Lectura y Escritura en la Educación Superior </t>
  </si>
  <si>
    <t>Comunicación Oral en la Educación Superior</t>
  </si>
  <si>
    <t>Arte, Creatividad y Aprendizaje</t>
  </si>
  <si>
    <t>Ciencia y Epistemologías</t>
  </si>
  <si>
    <t>Literatura y Sociedad en Contextos Diversos</t>
  </si>
  <si>
    <t>Alfabetización Científica</t>
  </si>
  <si>
    <t xml:space="preserve">Ética y Filosofía para el Pensamiento Crítico </t>
  </si>
  <si>
    <t>Resolución de Problemas Matemáticos I</t>
  </si>
  <si>
    <t>Resolución de Problemas Matemáticos II</t>
  </si>
  <si>
    <t>Desarrollo Personal I</t>
  </si>
  <si>
    <t>Desarrollo Personal II</t>
  </si>
  <si>
    <t>Historia, Sociedad y Diversidad</t>
  </si>
  <si>
    <t>Deliberación y Participación</t>
  </si>
  <si>
    <t xml:space="preserve">Práctica e Investigación I </t>
  </si>
  <si>
    <t>Práctica e Investigación II</t>
  </si>
  <si>
    <t>Práctica e Investigación III</t>
  </si>
  <si>
    <t>Práctica e Investigación IV</t>
  </si>
  <si>
    <t>Práctica e Investigación V</t>
  </si>
  <si>
    <t>Práctica e Investigación VI</t>
  </si>
  <si>
    <t>Práctica e Investigación VII</t>
  </si>
  <si>
    <t>Práctica e Investigación VIII</t>
  </si>
  <si>
    <t>Práctica e Investigación IX</t>
  </si>
  <si>
    <t>Práctica e Investigación X</t>
  </si>
  <si>
    <t>Fundamentos de la Educación Inicial</t>
  </si>
  <si>
    <t>Desarrollo Personal y Social en la Primera Infancia</t>
  </si>
  <si>
    <t xml:space="preserve">Juego, Desarrollo y Aprendizaje en la Primera Infancia </t>
  </si>
  <si>
    <t>Inclusión Educativa para la Atención a la Diversidad</t>
  </si>
  <si>
    <t>Desarrollo del Pensamiento</t>
  </si>
  <si>
    <t>Desarrollo de la Psicomotricidad en la Primera Infancia</t>
  </si>
  <si>
    <t>Desarrollo de la Comunicación en la Primera Infancia</t>
  </si>
  <si>
    <t>Convivencia y Ciudadanía en la Primera Infancia</t>
  </si>
  <si>
    <t>Desarrollo de la Matemática en la Primera Infancia</t>
  </si>
  <si>
    <t>Expresión del Arte en la Primera Infancia</t>
  </si>
  <si>
    <t>Gestión de la Atención y Cuidado Infantil</t>
  </si>
  <si>
    <t>Desarrollo de la Creatividad en la Primera Infancia</t>
  </si>
  <si>
    <t>Aprendizaje y Enseñanza de la Ciencia en ciclo II</t>
  </si>
  <si>
    <t>Políticas y Gestión para el Servicio Educativo</t>
  </si>
  <si>
    <t>Atención a las Necesidades Educativas Especiales</t>
  </si>
  <si>
    <t>Gestión de los Servicios Educativos en Educación Inicial</t>
  </si>
  <si>
    <t>Escuela, Familia y Comunidad</t>
  </si>
  <si>
    <t>SEGUNDO</t>
  </si>
  <si>
    <t>TERCERO</t>
  </si>
  <si>
    <t>CUARTO</t>
  </si>
  <si>
    <t>SEPTIMO</t>
  </si>
  <si>
    <t>OCTAVO</t>
  </si>
  <si>
    <t>PRIMERO</t>
  </si>
  <si>
    <t>Lectura y Escritura en la Educación Superior</t>
  </si>
  <si>
    <t>Desarrollo Personal  II</t>
  </si>
  <si>
    <t>Ética y Filosofía para el Pensamiento Crítico</t>
  </si>
  <si>
    <t>Práctica e Investigación I - X</t>
  </si>
  <si>
    <t>Educación y Sociedad en el siglo XXI</t>
  </si>
  <si>
    <t xml:space="preserve">Planificación, Mediación y Evaluación de los Aprendizajes I </t>
  </si>
  <si>
    <t>Planificación, Mediación y Evaluación de los Aprendizajes II</t>
  </si>
  <si>
    <t>Planificación, Mediación y Evaluación de los Aprendizajes III</t>
  </si>
  <si>
    <t>Niñez y Adolescencias: Desarrollo, Cambios e Identidades</t>
  </si>
  <si>
    <t>Niñez, Adolescencias y Aprendizajes</t>
  </si>
  <si>
    <t>Didáctica General de la Educación Física</t>
  </si>
  <si>
    <t>Corporeidad y Motricidad</t>
  </si>
  <si>
    <t>Educación Sexual Integral</t>
  </si>
  <si>
    <t>Culturas Escolares y Cambio Educativo</t>
  </si>
  <si>
    <t>Psicología en la actividad física y el deporte</t>
  </si>
  <si>
    <t>Teoría y Práctica de los Juegos</t>
  </si>
  <si>
    <t>Nutrición y Calidad de Vida</t>
  </si>
  <si>
    <t>Cultura Escolar: Recreación, Ocio y Tiempo Libre</t>
  </si>
  <si>
    <t>Convivencia Escolar y Orientación Educativa</t>
  </si>
  <si>
    <t>Actividad Física Terapéutica y Primeros Auxilios</t>
  </si>
  <si>
    <t>Gestión de Aprendizajes para la Atención a la Diversidad</t>
  </si>
  <si>
    <t>Educación Física Inclusiva</t>
  </si>
  <si>
    <t>Electivos III</t>
  </si>
  <si>
    <t>Electivos IV</t>
  </si>
  <si>
    <t>Políticas y Gestión Territorial del Servicio Educativo</t>
  </si>
  <si>
    <t>Electivo I</t>
  </si>
  <si>
    <t>Electivo II</t>
  </si>
  <si>
    <t>Electivo III</t>
  </si>
  <si>
    <t>Electivo IV</t>
  </si>
  <si>
    <t>Electivo V</t>
  </si>
  <si>
    <t>Electivo VI</t>
  </si>
  <si>
    <t>Práctica e Investigación I</t>
  </si>
  <si>
    <t xml:space="preserve">Electivo I </t>
  </si>
  <si>
    <t xml:space="preserve">Resolución de Problemas Matemáticos I </t>
  </si>
  <si>
    <t>Inglés para Principiantes / Beginner English I (A1)</t>
  </si>
  <si>
    <t>Inglés para Principiantes / Beginner English II (A1)</t>
  </si>
  <si>
    <t>Desarrollo y Aprendizaje I</t>
  </si>
  <si>
    <t>Desarrollo y Aprendizaje II</t>
  </si>
  <si>
    <t>Fundamentos para la Educación Primaria</t>
  </si>
  <si>
    <t>Aprendizaje de las Matemáticas I</t>
  </si>
  <si>
    <t>Aprendizaje de las Matemáticas II</t>
  </si>
  <si>
    <t>Aprendizaje de las Matemáticas III</t>
  </si>
  <si>
    <t>Construcción de la Identidad y Ejercicio de la Ciudadanía</t>
  </si>
  <si>
    <t>Aprendizaje de las Ciencias Sociales</t>
  </si>
  <si>
    <t>Artes Integradas para el Aprendizaje</t>
  </si>
  <si>
    <t>Aprendizaje de las Ciencias I</t>
  </si>
  <si>
    <t>Aprendizaje de las Ciencias II</t>
  </si>
  <si>
    <t>Políticas y Gestión Educativa</t>
  </si>
  <si>
    <t>Tutoría y Orientación Educativa</t>
  </si>
  <si>
    <t>Aprendizaje de la Comunicación I</t>
  </si>
  <si>
    <t>Aprendizaje de la Comunicación II</t>
  </si>
  <si>
    <t>SEM</t>
  </si>
  <si>
    <t>N°</t>
  </si>
  <si>
    <t>CONFORME CONSTA EN LAS ACTAS DE EVALUACIÓN A LAS QUE REMITO EN CASO NECESARIO</t>
  </si>
  <si>
    <t xml:space="preserve">             RESPONSABLE DEL CALIGRAFIADO  </t>
  </si>
  <si>
    <t xml:space="preserve">                  RESPONSABLE DEL CALIGRAFIADO</t>
  </si>
  <si>
    <t xml:space="preserve">S E G U N D O </t>
  </si>
  <si>
    <t xml:space="preserve">T E R C E R O  </t>
  </si>
  <si>
    <t>Didáctica de la Ed. Física a través de los deportes colectivos I</t>
  </si>
  <si>
    <t xml:space="preserve">                RESPONSABLE DEL CALIGRAFIADO</t>
  </si>
  <si>
    <t>Las Adolescentes: Desarrollo, Cambios e Identidades</t>
  </si>
  <si>
    <t>Planificación, Mediación y Evaluación de los Aprendizajes I</t>
  </si>
  <si>
    <t>Educacción Sexual Integral</t>
  </si>
  <si>
    <t>Pedagogías de Comunicación I</t>
  </si>
  <si>
    <t>Estructura y Significado</t>
  </si>
  <si>
    <t>Teoría e Interpretación Literaria I</t>
  </si>
  <si>
    <t>Pragmáticay Contexto</t>
  </si>
  <si>
    <t>Perspectiva sobre la Lectura</t>
  </si>
  <si>
    <t>Perspectiva sobre la Oralidad</t>
  </si>
  <si>
    <t>Argumentación</t>
  </si>
  <si>
    <t>Educación Mediática</t>
  </si>
  <si>
    <t>Teoria e Interpretación Literatura II</t>
  </si>
  <si>
    <t>Análisis Crítico del Discurso</t>
  </si>
  <si>
    <t>Perspectiva sobre la Educación Literaria</t>
  </si>
  <si>
    <t>Pedagogías de la Comunicación II</t>
  </si>
  <si>
    <t>Debates Actuales en Literacidades y Prácticas  Comunicativas</t>
  </si>
  <si>
    <t>NOTA</t>
  </si>
  <si>
    <t>Interacciones de Calidad y Desarrollo en la Primera Infancia I</t>
  </si>
  <si>
    <t>Interacciones de Calidad y Desarrollo en la Primera Infancia II</t>
  </si>
  <si>
    <t>Planificación por Competencias y Evaluac. para el Aprendizaje I</t>
  </si>
  <si>
    <t>Planificación por Competencias y Evaluac. para el Aprrendizaje II</t>
  </si>
  <si>
    <t>Planificación por Competencias y Evaluación para el Aprendizaje I</t>
  </si>
  <si>
    <t xml:space="preserve">Inglés para Principiantes / Beginner English  I </t>
  </si>
  <si>
    <t xml:space="preserve">Inglés para Principiantes / Beginner English  II </t>
  </si>
  <si>
    <t>Inglés para Principiantes / Beginner English  III</t>
  </si>
  <si>
    <t>Inglés para Principiantes / Beginner English  IV</t>
  </si>
  <si>
    <t>Planificación por Competencias y Evaluación para el Aprendizaje III</t>
  </si>
  <si>
    <t>Corporeidad y Motricidad para el Aprendizaje y la Autonomía</t>
  </si>
  <si>
    <t>Planificación por Competencias y Eval. para el Aprendizaje II</t>
  </si>
  <si>
    <t>Atención a la Diversidad y Necesidades de Aprendizaje  I</t>
  </si>
  <si>
    <t>Inglés para Principiantes / Beginner English  IV  (A2)</t>
  </si>
  <si>
    <t>Inglés para Principiantes / Beginner English III  A2</t>
  </si>
  <si>
    <t>Inglés para Principiantes / Beginner English II  A1</t>
  </si>
  <si>
    <t>Inglés para Principiantes / Beginner English I A1</t>
  </si>
  <si>
    <t>Atención a la Diversidad y Necesidades de AprendIzaje II</t>
  </si>
  <si>
    <t>Espiritualidad y Manifestaciones Religiosas para el Aprendizaje</t>
  </si>
  <si>
    <t>Anatomía y Fisiología del Cuerpo Humano II</t>
  </si>
  <si>
    <t>Didáctica de Educación Física a través de los deportes individuales II</t>
  </si>
  <si>
    <t>Didáctica de la Educaión Física a través de los Deportes de Combate</t>
  </si>
  <si>
    <t>Educación Física y Deporte para el Desarrollo</t>
  </si>
  <si>
    <t>Adolescencias y Aprendizajes</t>
  </si>
  <si>
    <t>Perspectivas sobre la Escritura</t>
  </si>
  <si>
    <t xml:space="preserve">Inglés para Principiantes / Beginner English II </t>
  </si>
  <si>
    <t>Inglés para Principiantes / Beginner English I</t>
  </si>
  <si>
    <t xml:space="preserve">Didáctica de Educación Física a través de los Deportes Individuales I </t>
  </si>
  <si>
    <t>Anatomía y Fisiología del Cuerpo Humano I</t>
  </si>
  <si>
    <t>Didáctica de la Educación Física a través de los Deportes Colectivos II</t>
  </si>
  <si>
    <t>Sociolingüística y Educación</t>
  </si>
  <si>
    <t>Lingüística del Texto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</si>
</sst>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Arial Unicode MS"/>
      <family val="2"/>
    </font>
    <font>
      <b/>
      <sz val="6.5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theme="1"/>
      <name val="Arial Unicode MS"/>
      <family val="2"/>
    </font>
    <font>
      <b/>
      <sz val="8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4" tint="-0.499984740745262"/>
      </left>
      <right style="thin">
        <color theme="4" tint="-0.499984740745262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4" tint="-0.499984740745262"/>
      </bottom>
      <diagonal/>
    </border>
    <border>
      <left style="thin">
        <color theme="1"/>
      </left>
      <right style="thin">
        <color indexed="64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1"/>
      </left>
      <right style="thin">
        <color indexed="64"/>
      </right>
      <top style="thin">
        <color theme="4" tint="-0.499984740745262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theme="4" tint="-0.499984740745262"/>
      </bottom>
      <diagonal/>
    </border>
    <border>
      <left style="thin">
        <color theme="1"/>
      </left>
      <right style="thin">
        <color indexed="64"/>
      </right>
      <top style="medium">
        <color theme="4" tint="-0.499984740745262"/>
      </top>
      <bottom style="thin">
        <color theme="4" tint="-0.499984740745262"/>
      </bottom>
      <diagonal/>
    </border>
    <border>
      <left style="thin">
        <color theme="1"/>
      </left>
      <right style="thin">
        <color indexed="64"/>
      </right>
      <top style="thin">
        <color theme="4" tint="-0.499984740745262"/>
      </top>
      <bottom/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/>
      <diagonal/>
    </border>
    <border>
      <left style="thin">
        <color theme="1"/>
      </left>
      <right style="thin">
        <color indexed="64"/>
      </right>
      <top style="thin">
        <color theme="4" tint="-0.499984740745262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4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theme="4" tint="-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 style="thin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 style="thin">
        <color indexed="64"/>
      </right>
      <top style="medium">
        <color theme="4" tint="-0.499984740745262"/>
      </top>
      <bottom style="thin">
        <color theme="4" tint="-0.499984740745262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1" fillId="2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0" fillId="0" borderId="0" xfId="0" applyBorder="1"/>
    <xf numFmtId="0" fontId="0" fillId="0" borderId="0" xfId="0" applyFont="1"/>
    <xf numFmtId="0" fontId="0" fillId="0" borderId="0" xfId="0" applyFont="1" applyBorder="1"/>
    <xf numFmtId="0" fontId="0" fillId="0" borderId="19" xfId="0" applyFont="1" applyBorder="1"/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 vertical="center" textRotation="90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horizontal="center"/>
    </xf>
    <xf numFmtId="0" fontId="2" fillId="0" borderId="0" xfId="0" applyFont="1"/>
    <xf numFmtId="0" fontId="1" fillId="0" borderId="0" xfId="0" applyFont="1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 textRotation="90"/>
    </xf>
    <xf numFmtId="0" fontId="1" fillId="2" borderId="2" xfId="0" applyFont="1" applyFill="1" applyBorder="1" applyAlignment="1">
      <alignment horizontal="center"/>
    </xf>
    <xf numFmtId="0" fontId="4" fillId="0" borderId="2" xfId="0" applyFont="1" applyBorder="1" applyAlignment="1">
      <alignment vertical="center"/>
    </xf>
    <xf numFmtId="0" fontId="5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3" fillId="0" borderId="3" xfId="0" applyFont="1" applyBorder="1" applyAlignment="1">
      <alignment horizontal="center" vertical="center" textRotation="90"/>
    </xf>
    <xf numFmtId="0" fontId="1" fillId="2" borderId="3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0" fillId="0" borderId="3" xfId="0" applyFont="1" applyBorder="1"/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textRotation="90"/>
    </xf>
    <xf numFmtId="0" fontId="2" fillId="0" borderId="3" xfId="0" applyFont="1" applyBorder="1" applyAlignment="1">
      <alignment vertical="center"/>
    </xf>
    <xf numFmtId="0" fontId="2" fillId="0" borderId="3" xfId="0" applyFont="1" applyBorder="1" applyAlignment="1">
      <alignment horizontal="center"/>
    </xf>
    <xf numFmtId="0" fontId="2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/>
    </xf>
    <xf numFmtId="0" fontId="1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1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4" xfId="0" applyBorder="1"/>
    <xf numFmtId="0" fontId="1" fillId="0" borderId="0" xfId="0" applyFont="1" applyBorder="1"/>
    <xf numFmtId="0" fontId="6" fillId="3" borderId="20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 textRotation="90"/>
    </xf>
    <xf numFmtId="0" fontId="11" fillId="0" borderId="23" xfId="0" applyFont="1" applyBorder="1" applyAlignment="1">
      <alignment horizontal="center" vertical="center" textRotation="90"/>
    </xf>
    <xf numFmtId="0" fontId="8" fillId="0" borderId="24" xfId="0" applyFont="1" applyBorder="1" applyAlignment="1">
      <alignment horizontal="center" vertical="center" textRotation="90"/>
    </xf>
    <xf numFmtId="0" fontId="8" fillId="0" borderId="22" xfId="0" applyFont="1" applyBorder="1" applyAlignment="1">
      <alignment horizontal="center" vertical="center" textRotation="90"/>
    </xf>
    <xf numFmtId="0" fontId="8" fillId="0" borderId="26" xfId="0" applyFont="1" applyBorder="1" applyAlignment="1">
      <alignment horizontal="center" vertical="center" textRotation="90"/>
    </xf>
    <xf numFmtId="0" fontId="8" fillId="0" borderId="29" xfId="0" applyFont="1" applyBorder="1" applyAlignment="1">
      <alignment horizontal="center" vertical="center" textRotation="90"/>
    </xf>
    <xf numFmtId="0" fontId="8" fillId="0" borderId="21" xfId="0" applyFont="1" applyBorder="1" applyAlignment="1">
      <alignment horizontal="center" vertical="center" textRotation="90"/>
    </xf>
    <xf numFmtId="0" fontId="8" fillId="0" borderId="23" xfId="0" applyFont="1" applyBorder="1" applyAlignment="1">
      <alignment horizontal="center" vertical="center" textRotation="90"/>
    </xf>
    <xf numFmtId="0" fontId="8" fillId="0" borderId="30" xfId="0" applyFont="1" applyBorder="1" applyAlignment="1">
      <alignment horizontal="center" vertical="center" textRotation="90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 textRotation="90"/>
    </xf>
    <xf numFmtId="0" fontId="1" fillId="0" borderId="0" xfId="0" applyFont="1" applyBorder="1" applyAlignment="1">
      <alignment horizontal="left"/>
    </xf>
    <xf numFmtId="0" fontId="11" fillId="0" borderId="24" xfId="0" applyFont="1" applyBorder="1" applyAlignment="1">
      <alignment horizontal="center" vertical="center" textRotation="90"/>
    </xf>
    <xf numFmtId="0" fontId="11" fillId="0" borderId="29" xfId="0" applyFont="1" applyBorder="1" applyAlignment="1">
      <alignment horizontal="center" vertical="center" textRotation="90"/>
    </xf>
    <xf numFmtId="0" fontId="1" fillId="0" borderId="0" xfId="0" applyFont="1" applyBorder="1" applyAlignment="1">
      <alignment horizontal="right"/>
    </xf>
    <xf numFmtId="0" fontId="0" fillId="0" borderId="0" xfId="0" applyFont="1" applyBorder="1" applyAlignment="1">
      <alignment horizontal="center"/>
    </xf>
    <xf numFmtId="0" fontId="8" fillId="0" borderId="31" xfId="0" applyFont="1" applyBorder="1" applyAlignment="1">
      <alignment horizontal="center" vertical="center" textRotation="90"/>
    </xf>
    <xf numFmtId="0" fontId="8" fillId="0" borderId="32" xfId="0" applyFont="1" applyBorder="1" applyAlignment="1">
      <alignment horizontal="center" vertical="center" textRotation="90"/>
    </xf>
    <xf numFmtId="0" fontId="8" fillId="0" borderId="34" xfId="0" applyFont="1" applyBorder="1" applyAlignment="1">
      <alignment horizontal="center" vertical="center" textRotation="90"/>
    </xf>
    <xf numFmtId="0" fontId="8" fillId="0" borderId="36" xfId="0" applyFont="1" applyBorder="1" applyAlignment="1">
      <alignment horizontal="center" vertical="center" textRotation="90"/>
    </xf>
    <xf numFmtId="0" fontId="8" fillId="0" borderId="38" xfId="0" applyFont="1" applyBorder="1" applyAlignment="1">
      <alignment horizontal="center" vertical="center" textRotation="90"/>
    </xf>
    <xf numFmtId="0" fontId="8" fillId="0" borderId="33" xfId="0" applyFont="1" applyBorder="1" applyAlignment="1">
      <alignment horizontal="center" vertical="center" textRotation="90"/>
    </xf>
    <xf numFmtId="0" fontId="8" fillId="0" borderId="35" xfId="0" applyFont="1" applyBorder="1" applyAlignment="1">
      <alignment horizontal="center" vertical="center" textRotation="90"/>
    </xf>
    <xf numFmtId="0" fontId="11" fillId="0" borderId="31" xfId="0" applyFont="1" applyBorder="1" applyAlignment="1">
      <alignment horizontal="center" vertical="center" textRotation="90"/>
    </xf>
    <xf numFmtId="0" fontId="11" fillId="0" borderId="34" xfId="0" applyFont="1" applyBorder="1" applyAlignment="1">
      <alignment horizontal="center" vertical="center" textRotation="90"/>
    </xf>
    <xf numFmtId="0" fontId="11" fillId="0" borderId="36" xfId="0" applyFont="1" applyBorder="1" applyAlignment="1">
      <alignment horizontal="center" vertical="center" textRotation="90"/>
    </xf>
    <xf numFmtId="0" fontId="11" fillId="0" borderId="37" xfId="0" applyFont="1" applyBorder="1" applyAlignment="1">
      <alignment horizontal="center" vertical="center" textRotation="90"/>
    </xf>
    <xf numFmtId="0" fontId="8" fillId="0" borderId="5" xfId="0" applyFont="1" applyBorder="1" applyAlignment="1">
      <alignment horizontal="center" vertical="center" textRotation="90"/>
    </xf>
    <xf numFmtId="0" fontId="8" fillId="0" borderId="1" xfId="0" applyFont="1" applyBorder="1" applyAlignment="1">
      <alignment horizontal="center" vertical="center" textRotation="90"/>
    </xf>
    <xf numFmtId="0" fontId="8" fillId="0" borderId="4" xfId="0" applyFont="1" applyBorder="1" applyAlignment="1">
      <alignment horizontal="center" vertical="center" textRotation="90"/>
    </xf>
    <xf numFmtId="0" fontId="8" fillId="0" borderId="13" xfId="0" applyFont="1" applyBorder="1" applyAlignment="1">
      <alignment horizontal="center" vertical="center" textRotation="90"/>
    </xf>
    <xf numFmtId="0" fontId="3" fillId="0" borderId="13" xfId="0" applyFont="1" applyBorder="1" applyAlignment="1">
      <alignment horizontal="center" vertical="center" textRotation="90"/>
    </xf>
    <xf numFmtId="0" fontId="3" fillId="0" borderId="1" xfId="0" applyFont="1" applyBorder="1" applyAlignment="1">
      <alignment horizontal="center" vertical="center" textRotation="90"/>
    </xf>
    <xf numFmtId="0" fontId="3" fillId="0" borderId="4" xfId="0" applyFont="1" applyBorder="1" applyAlignment="1">
      <alignment horizontal="center" vertical="center" textRotation="90"/>
    </xf>
    <xf numFmtId="0" fontId="12" fillId="0" borderId="13" xfId="0" applyFont="1" applyBorder="1" applyAlignment="1">
      <alignment horizontal="center" vertical="center" textRotation="90"/>
    </xf>
    <xf numFmtId="0" fontId="12" fillId="0" borderId="1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13" xfId="0" applyFont="1" applyBorder="1" applyAlignment="1">
      <alignment horizontal="center" vertical="center" textRotation="90"/>
    </xf>
    <xf numFmtId="0" fontId="11" fillId="0" borderId="1" xfId="0" applyFont="1" applyBorder="1" applyAlignment="1">
      <alignment horizontal="center" vertical="center" textRotation="90"/>
    </xf>
    <xf numFmtId="0" fontId="3" fillId="0" borderId="6" xfId="0" applyFont="1" applyBorder="1" applyAlignment="1">
      <alignment horizontal="center" vertical="center" textRotation="90"/>
    </xf>
    <xf numFmtId="0" fontId="12" fillId="0" borderId="5" xfId="0" applyFont="1" applyBorder="1" applyAlignment="1">
      <alignment horizontal="center" vertical="center" textRotation="90"/>
    </xf>
    <xf numFmtId="0" fontId="8" fillId="0" borderId="18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9525</xdr:rowOff>
    </xdr:from>
    <xdr:to>
      <xdr:col>3</xdr:col>
      <xdr:colOff>302911</xdr:colOff>
      <xdr:row>4</xdr:row>
      <xdr:rowOff>67733</xdr:rowOff>
    </xdr:to>
    <xdr:sp macro="" textlink="">
      <xdr:nvSpPr>
        <xdr:cNvPr id="2" name="2 CuadroTexto">
          <a:extLst>
            <a:ext uri="{FF2B5EF4-FFF2-40B4-BE49-F238E27FC236}">
              <a16:creationId xmlns:a16="http://schemas.microsoft.com/office/drawing/2014/main" id="{9BC97876-171A-076C-3EEE-5A657EC1AF3B}"/>
            </a:ext>
          </a:extLst>
        </xdr:cNvPr>
        <xdr:cNvSpPr txBox="1"/>
      </xdr:nvSpPr>
      <xdr:spPr>
        <a:xfrm>
          <a:off x="19050" y="9525"/>
          <a:ext cx="3857854" cy="845608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Instituto de Educación Superior Pedagógico Público</a:t>
          </a:r>
        </a:p>
        <a:p>
          <a:pPr algn="ctr"/>
          <a:endParaRPr lang="es-ES" sz="8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800" b="0" i="1">
              <a:solidFill>
                <a:schemeClr val="tx1"/>
              </a:solidFill>
              <a:latin typeface="Brush Script MT" panose="03060802040406070304" pitchFamily="66" charset="0"/>
              <a:ea typeface="+mn-ea"/>
              <a:cs typeface="+mn-cs"/>
            </a:rPr>
            <a:t>“Gustavo Allende Llaveria” </a:t>
          </a:r>
        </a:p>
        <a:p>
          <a:pPr algn="ctr">
            <a:lnSpc>
              <a:spcPts val="1100"/>
            </a:lnSpc>
          </a:pPr>
          <a:endParaRPr lang="es-ES" sz="800" b="0">
            <a:solidFill>
              <a:schemeClr val="tx1"/>
            </a:solidFill>
            <a:latin typeface="Brush Script MT" panose="03060802040406070304" pitchFamily="66" charset="0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Tarma</a:t>
          </a:r>
          <a:endParaRPr lang="es-E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0</xdr:colOff>
      <xdr:row>8</xdr:row>
      <xdr:rowOff>88903</xdr:rowOff>
    </xdr:from>
    <xdr:to>
      <xdr:col>9</xdr:col>
      <xdr:colOff>31750</xdr:colOff>
      <xdr:row>11</xdr:row>
      <xdr:rowOff>330200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53A36F93-CE66-372E-431F-64B7B77B1F0D}"/>
            </a:ext>
          </a:extLst>
        </xdr:cNvPr>
        <xdr:cNvSpPr txBox="1"/>
      </xdr:nvSpPr>
      <xdr:spPr>
        <a:xfrm>
          <a:off x="0" y="1604436"/>
          <a:ext cx="6923617" cy="800097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l"/>
          <a:r>
            <a:rPr lang="es-ES" sz="1100">
              <a:solidFill>
                <a:schemeClr val="tx1"/>
              </a:solidFill>
            </a:rPr>
            <a:t>A DON (ÑA) _________________________________________________ QUIEN  HA CURSADO ESTUDIOS SUPERIORES</a:t>
          </a:r>
        </a:p>
        <a:p>
          <a:pPr algn="l"/>
          <a:endParaRPr lang="es-ES" sz="300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100">
              <a:solidFill>
                <a:schemeClr val="tx1"/>
              </a:solidFill>
            </a:rPr>
            <a:t>EN ESTA</a:t>
          </a:r>
          <a:r>
            <a:rPr lang="es-ES" sz="1100" baseline="0">
              <a:solidFill>
                <a:schemeClr val="tx1"/>
              </a:solidFill>
            </a:rPr>
            <a:t> CASA </a:t>
          </a:r>
          <a:r>
            <a:rPr lang="es-ES" sz="1100">
              <a:solidFill>
                <a:schemeClr val="tx1"/>
              </a:solidFill>
            </a:rPr>
            <a:t>DE FORMACIÓN MAGISTERIAL EN  EL PROGRAMA DE ESTUDIOS DE:   </a:t>
          </a:r>
          <a:r>
            <a:rPr lang="es-ES" sz="1400" b="1">
              <a:solidFill>
                <a:schemeClr val="tx1"/>
              </a:solidFill>
            </a:rPr>
            <a:t>EDUCACIÓN INICIAL</a:t>
          </a:r>
          <a:r>
            <a:rPr lang="es-ES" sz="1200" b="1">
              <a:solidFill>
                <a:schemeClr val="tx1"/>
              </a:solidFill>
            </a:rPr>
            <a:t> (RVM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 baseline="0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 baseline="0">
              <a:solidFill>
                <a:schemeClr val="tx1"/>
              </a:solidFill>
            </a:rPr>
            <a:t>N° 163-2019-MINEDU) </a:t>
          </a:r>
          <a:r>
            <a:rPr lang="es-E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COD. DE MATRICULA: ____________  HABIENDO OBTENIDO LOS SIGUIENTES RESULTADOS.</a:t>
          </a:r>
          <a:endParaRPr lang="es-PE" sz="1200">
            <a:effectLst/>
          </a:endParaRPr>
        </a:p>
        <a:p>
          <a:pPr algn="l"/>
          <a:endParaRPr lang="es-ES" sz="1200">
            <a:solidFill>
              <a:schemeClr val="tx1"/>
            </a:solidFill>
          </a:endParaRPr>
        </a:p>
        <a:p>
          <a:pPr algn="l"/>
          <a:endParaRPr lang="es-ES" sz="3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686011</xdr:colOff>
      <xdr:row>5</xdr:row>
      <xdr:rowOff>137584</xdr:rowOff>
    </xdr:from>
    <xdr:to>
      <xdr:col>8</xdr:col>
      <xdr:colOff>37673</xdr:colOff>
      <xdr:row>7</xdr:row>
      <xdr:rowOff>245265</xdr:rowOff>
    </xdr:to>
    <xdr:sp macro="" textlink="">
      <xdr:nvSpPr>
        <xdr:cNvPr id="4" name="4 CuadroTexto">
          <a:extLst>
            <a:ext uri="{FF2B5EF4-FFF2-40B4-BE49-F238E27FC236}">
              <a16:creationId xmlns:a16="http://schemas.microsoft.com/office/drawing/2014/main" id="{706A5572-B020-E965-303B-09835E08FEF8}"/>
            </a:ext>
          </a:extLst>
        </xdr:cNvPr>
        <xdr:cNvSpPr txBox="1"/>
      </xdr:nvSpPr>
      <xdr:spPr>
        <a:xfrm>
          <a:off x="1179194" y="1043517"/>
          <a:ext cx="5267748" cy="394364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600" b="1">
              <a:solidFill>
                <a:schemeClr val="tx1"/>
              </a:solidFill>
              <a:latin typeface="News706 BT" panose="02040804060705020204" pitchFamily="18" charset="0"/>
            </a:rPr>
            <a:t>FICHA DE RENDIMIENTO ACADÉMICO</a:t>
          </a:r>
        </a:p>
      </xdr:txBody>
    </xdr:sp>
    <xdr:clientData/>
  </xdr:twoCellAnchor>
  <xdr:twoCellAnchor>
    <xdr:from>
      <xdr:col>0</xdr:col>
      <xdr:colOff>0</xdr:colOff>
      <xdr:row>72</xdr:row>
      <xdr:rowOff>38099</xdr:rowOff>
    </xdr:from>
    <xdr:to>
      <xdr:col>8</xdr:col>
      <xdr:colOff>358773</xdr:colOff>
      <xdr:row>73</xdr:row>
      <xdr:rowOff>95249</xdr:rowOff>
    </xdr:to>
    <xdr:sp macro="" textlink="">
      <xdr:nvSpPr>
        <xdr:cNvPr id="5" name="5 CuadroTexto">
          <a:extLst>
            <a:ext uri="{FF2B5EF4-FFF2-40B4-BE49-F238E27FC236}">
              <a16:creationId xmlns:a16="http://schemas.microsoft.com/office/drawing/2014/main" id="{E9CEC11C-B977-8DE9-9A3C-13412288CE2D}"/>
            </a:ext>
          </a:extLst>
        </xdr:cNvPr>
        <xdr:cNvSpPr txBox="1"/>
      </xdr:nvSpPr>
      <xdr:spPr>
        <a:xfrm>
          <a:off x="0" y="16344899"/>
          <a:ext cx="6828367" cy="21801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100">
              <a:solidFill>
                <a:schemeClr val="tx1"/>
              </a:solidFill>
            </a:rPr>
            <a:t>OBSERVACIONES: ________________________________________________________________________</a:t>
          </a:r>
        </a:p>
      </xdr:txBody>
    </xdr:sp>
    <xdr:clientData/>
  </xdr:twoCellAnchor>
  <xdr:twoCellAnchor>
    <xdr:from>
      <xdr:col>1</xdr:col>
      <xdr:colOff>25401</xdr:colOff>
      <xdr:row>77</xdr:row>
      <xdr:rowOff>8467</xdr:rowOff>
    </xdr:from>
    <xdr:to>
      <xdr:col>2</xdr:col>
      <xdr:colOff>1544311</xdr:colOff>
      <xdr:row>77</xdr:row>
      <xdr:rowOff>8467</xdr:rowOff>
    </xdr:to>
    <xdr:cxnSp macro="">
      <xdr:nvCxnSpPr>
        <xdr:cNvPr id="6" name="6 Conector recto">
          <a:extLst>
            <a:ext uri="{FF2B5EF4-FFF2-40B4-BE49-F238E27FC236}">
              <a16:creationId xmlns:a16="http://schemas.microsoft.com/office/drawing/2014/main" id="{13C1C910-2453-0327-C4E0-F93246949932}"/>
            </a:ext>
          </a:extLst>
        </xdr:cNvPr>
        <xdr:cNvCxnSpPr/>
      </xdr:nvCxnSpPr>
      <xdr:spPr>
        <a:xfrm>
          <a:off x="262468" y="17610667"/>
          <a:ext cx="1803398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1216025</xdr:colOff>
      <xdr:row>81</xdr:row>
      <xdr:rowOff>75142</xdr:rowOff>
    </xdr:from>
    <xdr:to>
      <xdr:col>4</xdr:col>
      <xdr:colOff>279519</xdr:colOff>
      <xdr:row>84</xdr:row>
      <xdr:rowOff>112048</xdr:rowOff>
    </xdr:to>
    <xdr:sp macro="" textlink="">
      <xdr:nvSpPr>
        <xdr:cNvPr id="7" name="8 CuadroTexto">
          <a:extLst>
            <a:ext uri="{FF2B5EF4-FFF2-40B4-BE49-F238E27FC236}">
              <a16:creationId xmlns:a16="http://schemas.microsoft.com/office/drawing/2014/main" id="{9F0E7419-2182-2598-057E-23B562DDA624}"/>
            </a:ext>
          </a:extLst>
        </xdr:cNvPr>
        <xdr:cNvSpPr txBox="1"/>
      </xdr:nvSpPr>
      <xdr:spPr>
        <a:xfrm>
          <a:off x="1728258" y="18422409"/>
          <a:ext cx="2598209" cy="586049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000">
              <a:solidFill>
                <a:schemeClr val="tx1"/>
              </a:solidFill>
            </a:rPr>
            <a:t>V°B° </a:t>
          </a:r>
        </a:p>
        <a:p>
          <a:r>
            <a:rPr lang="es-ES" sz="1000">
              <a:solidFill>
                <a:schemeClr val="tx1"/>
              </a:solidFill>
            </a:rPr>
            <a:t>	</a:t>
          </a:r>
        </a:p>
        <a:p>
          <a:pPr algn="ctr"/>
          <a:r>
            <a:rPr lang="es-ES" sz="1000" i="1">
              <a:solidFill>
                <a:schemeClr val="tx1"/>
              </a:solidFill>
            </a:rPr>
            <a:t> </a:t>
          </a:r>
          <a:r>
            <a:rPr lang="es-ES" sz="1000">
              <a:solidFill>
                <a:schemeClr val="tx1"/>
              </a:solidFill>
            </a:rPr>
            <a:t>SECRETARIO  ACADÉMICO</a:t>
          </a:r>
        </a:p>
      </xdr:txBody>
    </xdr:sp>
    <xdr:clientData/>
  </xdr:twoCellAnchor>
  <xdr:twoCellAnchor>
    <xdr:from>
      <xdr:col>5</xdr:col>
      <xdr:colOff>381211</xdr:colOff>
      <xdr:row>82</xdr:row>
      <xdr:rowOff>437</xdr:rowOff>
    </xdr:from>
    <xdr:to>
      <xdr:col>8</xdr:col>
      <xdr:colOff>240210</xdr:colOff>
      <xdr:row>84</xdr:row>
      <xdr:rowOff>189442</xdr:rowOff>
    </xdr:to>
    <xdr:sp macro="" textlink="">
      <xdr:nvSpPr>
        <xdr:cNvPr id="8" name="9 CuadroTexto">
          <a:extLst>
            <a:ext uri="{FF2B5EF4-FFF2-40B4-BE49-F238E27FC236}">
              <a16:creationId xmlns:a16="http://schemas.microsoft.com/office/drawing/2014/main" id="{E9CF5793-656A-4F9E-B941-19C6DAD34F8C}"/>
            </a:ext>
          </a:extLst>
        </xdr:cNvPr>
        <xdr:cNvSpPr txBox="1"/>
      </xdr:nvSpPr>
      <xdr:spPr>
        <a:xfrm>
          <a:off x="4162636" y="19764812"/>
          <a:ext cx="1891661" cy="54714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endParaRPr lang="es-ES" sz="10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r>
            <a:rPr lang="es-ES" sz="1000">
              <a:solidFill>
                <a:schemeClr val="tx1"/>
              </a:solidFill>
            </a:rPr>
            <a:t>DIRECTOR(A) GENERAL</a:t>
          </a:r>
        </a:p>
      </xdr:txBody>
    </xdr:sp>
    <xdr:clientData/>
  </xdr:twoCellAnchor>
  <xdr:twoCellAnchor>
    <xdr:from>
      <xdr:col>7</xdr:col>
      <xdr:colOff>276225</xdr:colOff>
      <xdr:row>0</xdr:row>
      <xdr:rowOff>28575</xdr:rowOff>
    </xdr:from>
    <xdr:to>
      <xdr:col>7</xdr:col>
      <xdr:colOff>914400</xdr:colOff>
      <xdr:row>4</xdr:row>
      <xdr:rowOff>57150</xdr:rowOff>
    </xdr:to>
    <xdr:pic>
      <xdr:nvPicPr>
        <xdr:cNvPr id="78599" name="Picture 28">
          <a:extLst>
            <a:ext uri="{FF2B5EF4-FFF2-40B4-BE49-F238E27FC236}">
              <a16:creationId xmlns:a16="http://schemas.microsoft.com/office/drawing/2014/main" id="{66B6A023-A3EA-6A25-32B3-334ACF1CE6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00725" y="28575"/>
          <a:ext cx="638175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1572977</xdr:colOff>
      <xdr:row>83</xdr:row>
      <xdr:rowOff>30367</xdr:rowOff>
    </xdr:from>
    <xdr:to>
      <xdr:col>3</xdr:col>
      <xdr:colOff>286772</xdr:colOff>
      <xdr:row>83</xdr:row>
      <xdr:rowOff>33867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E4994C4D-605F-CDFB-9DEE-85B8B1E31453}"/>
            </a:ext>
          </a:extLst>
        </xdr:cNvPr>
        <xdr:cNvCxnSpPr/>
      </xdr:nvCxnSpPr>
      <xdr:spPr>
        <a:xfrm>
          <a:off x="2085210" y="18750167"/>
          <a:ext cx="1834857" cy="3500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150411</xdr:colOff>
      <xdr:row>83</xdr:row>
      <xdr:rowOff>0</xdr:rowOff>
    </xdr:from>
    <xdr:to>
      <xdr:col>8</xdr:col>
      <xdr:colOff>118543</xdr:colOff>
      <xdr:row>83</xdr:row>
      <xdr:rowOff>2196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315267B4-3474-1225-386D-C1DD25564049}"/>
            </a:ext>
          </a:extLst>
        </xdr:cNvPr>
        <xdr:cNvCxnSpPr/>
      </xdr:nvCxnSpPr>
      <xdr:spPr>
        <a:xfrm flipV="1">
          <a:off x="5062136" y="18719800"/>
          <a:ext cx="1516464" cy="2196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407670</xdr:colOff>
      <xdr:row>4</xdr:row>
      <xdr:rowOff>19051</xdr:rowOff>
    </xdr:from>
    <xdr:to>
      <xdr:col>7</xdr:col>
      <xdr:colOff>813414</xdr:colOff>
      <xdr:row>6</xdr:row>
      <xdr:rowOff>192435</xdr:rowOff>
    </xdr:to>
    <xdr:sp macro="" textlink="">
      <xdr:nvSpPr>
        <xdr:cNvPr id="4" name="4 CuadroTexto">
          <a:extLst>
            <a:ext uri="{FF2B5EF4-FFF2-40B4-BE49-F238E27FC236}">
              <a16:creationId xmlns:a16="http://schemas.microsoft.com/office/drawing/2014/main" id="{8321DE14-D347-8ED1-A81F-F07C5F623806}"/>
            </a:ext>
          </a:extLst>
        </xdr:cNvPr>
        <xdr:cNvSpPr txBox="1"/>
      </xdr:nvSpPr>
      <xdr:spPr>
        <a:xfrm>
          <a:off x="889635" y="796291"/>
          <a:ext cx="5179694" cy="386744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endParaRPr lang="es-ES" sz="18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12700</xdr:colOff>
      <xdr:row>72</xdr:row>
      <xdr:rowOff>80432</xdr:rowOff>
    </xdr:from>
    <xdr:to>
      <xdr:col>8</xdr:col>
      <xdr:colOff>447666</xdr:colOff>
      <xdr:row>73</xdr:row>
      <xdr:rowOff>147540</xdr:rowOff>
    </xdr:to>
    <xdr:sp macro="" textlink="">
      <xdr:nvSpPr>
        <xdr:cNvPr id="5" name="5 CuadroTexto">
          <a:extLst>
            <a:ext uri="{FF2B5EF4-FFF2-40B4-BE49-F238E27FC236}">
              <a16:creationId xmlns:a16="http://schemas.microsoft.com/office/drawing/2014/main" id="{664DB3A3-E2D2-2419-090C-16F7474C900B}"/>
            </a:ext>
          </a:extLst>
        </xdr:cNvPr>
        <xdr:cNvSpPr txBox="1"/>
      </xdr:nvSpPr>
      <xdr:spPr>
        <a:xfrm>
          <a:off x="12700" y="16133232"/>
          <a:ext cx="6929967" cy="218017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100">
              <a:solidFill>
                <a:schemeClr val="tx1"/>
              </a:solidFill>
            </a:rPr>
            <a:t>OBSERVACIONES: ________________________________________________________________________</a:t>
          </a:r>
        </a:p>
      </xdr:txBody>
    </xdr:sp>
    <xdr:clientData/>
  </xdr:twoCellAnchor>
  <xdr:twoCellAnchor>
    <xdr:from>
      <xdr:col>1</xdr:col>
      <xdr:colOff>215054</xdr:colOff>
      <xdr:row>77</xdr:row>
      <xdr:rowOff>8467</xdr:rowOff>
    </xdr:from>
    <xdr:to>
      <xdr:col>2</xdr:col>
      <xdr:colOff>1663686</xdr:colOff>
      <xdr:row>77</xdr:row>
      <xdr:rowOff>30169</xdr:rowOff>
    </xdr:to>
    <xdr:cxnSp macro="">
      <xdr:nvCxnSpPr>
        <xdr:cNvPr id="6" name="6 Conector recto">
          <a:extLst>
            <a:ext uri="{FF2B5EF4-FFF2-40B4-BE49-F238E27FC236}">
              <a16:creationId xmlns:a16="http://schemas.microsoft.com/office/drawing/2014/main" id="{02668D73-3534-3198-E49E-FD780EFEB7A1}"/>
            </a:ext>
          </a:extLst>
        </xdr:cNvPr>
        <xdr:cNvCxnSpPr/>
      </xdr:nvCxnSpPr>
      <xdr:spPr>
        <a:xfrm flipV="1">
          <a:off x="461646" y="17051867"/>
          <a:ext cx="1714287" cy="1085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1216025</xdr:colOff>
      <xdr:row>81</xdr:row>
      <xdr:rowOff>75142</xdr:rowOff>
    </xdr:from>
    <xdr:to>
      <xdr:col>4</xdr:col>
      <xdr:colOff>117440</xdr:colOff>
      <xdr:row>84</xdr:row>
      <xdr:rowOff>112048</xdr:rowOff>
    </xdr:to>
    <xdr:sp macro="" textlink="">
      <xdr:nvSpPr>
        <xdr:cNvPr id="7" name="8 CuadroTexto">
          <a:extLst>
            <a:ext uri="{FF2B5EF4-FFF2-40B4-BE49-F238E27FC236}">
              <a16:creationId xmlns:a16="http://schemas.microsoft.com/office/drawing/2014/main" id="{429FBBFC-AE08-69BB-801C-46E825831E66}"/>
            </a:ext>
          </a:extLst>
        </xdr:cNvPr>
        <xdr:cNvSpPr txBox="1"/>
      </xdr:nvSpPr>
      <xdr:spPr>
        <a:xfrm>
          <a:off x="1728258" y="17863609"/>
          <a:ext cx="2462742" cy="586049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000">
              <a:solidFill>
                <a:schemeClr val="tx1"/>
              </a:solidFill>
            </a:rPr>
            <a:t>V°B° </a:t>
          </a:r>
        </a:p>
        <a:p>
          <a:r>
            <a:rPr lang="es-ES" sz="1000">
              <a:solidFill>
                <a:schemeClr val="tx1"/>
              </a:solidFill>
            </a:rPr>
            <a:t>	</a:t>
          </a:r>
        </a:p>
        <a:p>
          <a:pPr algn="ctr"/>
          <a:r>
            <a:rPr lang="es-ES" sz="1000" i="1">
              <a:solidFill>
                <a:schemeClr val="tx1"/>
              </a:solidFill>
            </a:rPr>
            <a:t>           </a:t>
          </a:r>
          <a:r>
            <a:rPr lang="es-ES" sz="1000">
              <a:solidFill>
                <a:schemeClr val="tx1"/>
              </a:solidFill>
            </a:rPr>
            <a:t>SECRETARIO  ACADÉMICO</a:t>
          </a:r>
        </a:p>
      </xdr:txBody>
    </xdr:sp>
    <xdr:clientData/>
  </xdr:twoCellAnchor>
  <xdr:twoCellAnchor>
    <xdr:from>
      <xdr:col>5</xdr:col>
      <xdr:colOff>381211</xdr:colOff>
      <xdr:row>82</xdr:row>
      <xdr:rowOff>437</xdr:rowOff>
    </xdr:from>
    <xdr:to>
      <xdr:col>8</xdr:col>
      <xdr:colOff>230712</xdr:colOff>
      <xdr:row>84</xdr:row>
      <xdr:rowOff>189442</xdr:rowOff>
    </xdr:to>
    <xdr:sp macro="" textlink="">
      <xdr:nvSpPr>
        <xdr:cNvPr id="8" name="9 CuadroTexto">
          <a:extLst>
            <a:ext uri="{FF2B5EF4-FFF2-40B4-BE49-F238E27FC236}">
              <a16:creationId xmlns:a16="http://schemas.microsoft.com/office/drawing/2014/main" id="{0EA08D12-ED3E-F0FF-6859-1129307B7076}"/>
            </a:ext>
          </a:extLst>
        </xdr:cNvPr>
        <xdr:cNvSpPr txBox="1"/>
      </xdr:nvSpPr>
      <xdr:spPr>
        <a:xfrm>
          <a:off x="4665556" y="17890292"/>
          <a:ext cx="1891661" cy="54714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r>
            <a:rPr lang="es-ES" sz="1000">
              <a:solidFill>
                <a:schemeClr val="tx1"/>
              </a:solidFill>
            </a:rPr>
            <a:t>DIRECTOR(A) GENERAL</a:t>
          </a:r>
        </a:p>
      </xdr:txBody>
    </xdr:sp>
    <xdr:clientData/>
  </xdr:twoCellAnchor>
  <xdr:twoCellAnchor>
    <xdr:from>
      <xdr:col>7</xdr:col>
      <xdr:colOff>333375</xdr:colOff>
      <xdr:row>0</xdr:row>
      <xdr:rowOff>0</xdr:rowOff>
    </xdr:from>
    <xdr:to>
      <xdr:col>7</xdr:col>
      <xdr:colOff>981075</xdr:colOff>
      <xdr:row>4</xdr:row>
      <xdr:rowOff>28575</xdr:rowOff>
    </xdr:to>
    <xdr:pic>
      <xdr:nvPicPr>
        <xdr:cNvPr id="81151" name="Picture 28">
          <a:extLst>
            <a:ext uri="{FF2B5EF4-FFF2-40B4-BE49-F238E27FC236}">
              <a16:creationId xmlns:a16="http://schemas.microsoft.com/office/drawing/2014/main" id="{ED4C2E42-0778-A275-7404-C9DB7325C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2150" y="0"/>
          <a:ext cx="647700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1556043</xdr:colOff>
      <xdr:row>83</xdr:row>
      <xdr:rowOff>8467</xdr:rowOff>
    </xdr:from>
    <xdr:to>
      <xdr:col>3</xdr:col>
      <xdr:colOff>395711</xdr:colOff>
      <xdr:row>83</xdr:row>
      <xdr:rowOff>13434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7D62F015-0328-B35A-B0D4-7391DEC01521}"/>
            </a:ext>
          </a:extLst>
        </xdr:cNvPr>
        <xdr:cNvCxnSpPr/>
      </xdr:nvCxnSpPr>
      <xdr:spPr>
        <a:xfrm flipV="1">
          <a:off x="2068276" y="18169467"/>
          <a:ext cx="1987257" cy="4967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150411</xdr:colOff>
      <xdr:row>83</xdr:row>
      <xdr:rowOff>2196</xdr:rowOff>
    </xdr:from>
    <xdr:to>
      <xdr:col>8</xdr:col>
      <xdr:colOff>84672</xdr:colOff>
      <xdr:row>83</xdr:row>
      <xdr:rowOff>8467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21B69FC0-DC58-9587-10C7-4BA13998A072}"/>
            </a:ext>
          </a:extLst>
        </xdr:cNvPr>
        <xdr:cNvCxnSpPr/>
      </xdr:nvCxnSpPr>
      <xdr:spPr>
        <a:xfrm>
          <a:off x="5079069" y="18163196"/>
          <a:ext cx="1491064" cy="6271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565785</xdr:colOff>
      <xdr:row>5</xdr:row>
      <xdr:rowOff>120017</xdr:rowOff>
    </xdr:from>
    <xdr:to>
      <xdr:col>7</xdr:col>
      <xdr:colOff>955658</xdr:colOff>
      <xdr:row>7</xdr:row>
      <xdr:rowOff>39070</xdr:rowOff>
    </xdr:to>
    <xdr:sp macro="" textlink="">
      <xdr:nvSpPr>
        <xdr:cNvPr id="12" name="4 CuadroTexto">
          <a:extLst>
            <a:ext uri="{FF2B5EF4-FFF2-40B4-BE49-F238E27FC236}">
              <a16:creationId xmlns:a16="http://schemas.microsoft.com/office/drawing/2014/main" id="{B6DD9DAD-3458-7CFA-A54A-15DB47CD6671}"/>
            </a:ext>
          </a:extLst>
        </xdr:cNvPr>
        <xdr:cNvSpPr txBox="1"/>
      </xdr:nvSpPr>
      <xdr:spPr>
        <a:xfrm>
          <a:off x="1058968" y="1016425"/>
          <a:ext cx="5233881" cy="394364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600" b="1">
              <a:solidFill>
                <a:schemeClr val="tx1"/>
              </a:solidFill>
              <a:latin typeface="News706 BT" panose="02040804060705020204" pitchFamily="18" charset="0"/>
            </a:rPr>
            <a:t>FICHA DE RENDIMIENTO ACADÉMICO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266927</xdr:colOff>
      <xdr:row>4</xdr:row>
      <xdr:rowOff>58208</xdr:rowOff>
    </xdr:to>
    <xdr:sp macro="" textlink="">
      <xdr:nvSpPr>
        <xdr:cNvPr id="13" name="2 CuadroTexto">
          <a:extLst>
            <a:ext uri="{FF2B5EF4-FFF2-40B4-BE49-F238E27FC236}">
              <a16:creationId xmlns:a16="http://schemas.microsoft.com/office/drawing/2014/main" id="{5888B801-DECF-7514-F3F1-50BFBE04D020}"/>
            </a:ext>
          </a:extLst>
        </xdr:cNvPr>
        <xdr:cNvSpPr txBox="1"/>
      </xdr:nvSpPr>
      <xdr:spPr>
        <a:xfrm>
          <a:off x="0" y="0"/>
          <a:ext cx="3917120" cy="845608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Instituto de Educación Superior Pedagógico Público</a:t>
          </a:r>
        </a:p>
        <a:p>
          <a:pPr algn="ctr"/>
          <a:endParaRPr lang="es-ES" sz="8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800" b="0" i="1">
              <a:solidFill>
                <a:schemeClr val="tx1"/>
              </a:solidFill>
              <a:latin typeface="Brush Script MT" panose="03060802040406070304" pitchFamily="66" charset="0"/>
              <a:ea typeface="+mn-ea"/>
              <a:cs typeface="+mn-cs"/>
            </a:rPr>
            <a:t>“Gustavo Allende Llaveria” </a:t>
          </a:r>
        </a:p>
        <a:p>
          <a:pPr algn="ctr">
            <a:lnSpc>
              <a:spcPts val="1100"/>
            </a:lnSpc>
          </a:pPr>
          <a:endParaRPr lang="es-ES" sz="800" b="0">
            <a:solidFill>
              <a:schemeClr val="tx1"/>
            </a:solidFill>
            <a:latin typeface="Brush Script MT" panose="03060802040406070304" pitchFamily="66" charset="0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Tarma</a:t>
          </a:r>
          <a:endParaRPr lang="es-E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0</xdr:colOff>
      <xdr:row>7</xdr:row>
      <xdr:rowOff>170392</xdr:rowOff>
    </xdr:from>
    <xdr:to>
      <xdr:col>9</xdr:col>
      <xdr:colOff>329304</xdr:colOff>
      <xdr:row>11</xdr:row>
      <xdr:rowOff>253917</xdr:rowOff>
    </xdr:to>
    <xdr:sp macro="" textlink="">
      <xdr:nvSpPr>
        <xdr:cNvPr id="14" name="3 CuadroTexto">
          <a:extLst>
            <a:ext uri="{FF2B5EF4-FFF2-40B4-BE49-F238E27FC236}">
              <a16:creationId xmlns:a16="http://schemas.microsoft.com/office/drawing/2014/main" id="{A491EAEA-B6D5-FF9F-4FBA-534CA90F903C}"/>
            </a:ext>
          </a:extLst>
        </xdr:cNvPr>
        <xdr:cNvSpPr txBox="1"/>
      </xdr:nvSpPr>
      <xdr:spPr>
        <a:xfrm>
          <a:off x="0" y="1532467"/>
          <a:ext cx="7445829" cy="833362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l"/>
          <a:r>
            <a:rPr lang="es-ES" sz="1100">
              <a:solidFill>
                <a:schemeClr val="tx1"/>
              </a:solidFill>
            </a:rPr>
            <a:t>A DON (ÑA) ______________________________________________________ QUIEN  HA CURSADO ESTUDIOS SUPERIORES</a:t>
          </a:r>
        </a:p>
        <a:p>
          <a:pPr algn="l"/>
          <a:endParaRPr lang="es-ES" sz="300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100">
              <a:solidFill>
                <a:schemeClr val="tx1"/>
              </a:solidFill>
            </a:rPr>
            <a:t>EN ESTA</a:t>
          </a:r>
          <a:r>
            <a:rPr lang="es-ES" sz="1100" baseline="0">
              <a:solidFill>
                <a:schemeClr val="tx1"/>
              </a:solidFill>
            </a:rPr>
            <a:t> CASA </a:t>
          </a:r>
          <a:r>
            <a:rPr lang="es-ES" sz="1100">
              <a:solidFill>
                <a:schemeClr val="tx1"/>
              </a:solidFill>
            </a:rPr>
            <a:t>DE FORMACIÓN MAGISTERIAL EN  EL PROGRAMA DE ESTUDIOS DE:  </a:t>
          </a:r>
          <a:r>
            <a:rPr lang="es-ES" sz="1400" b="1">
              <a:solidFill>
                <a:schemeClr val="tx1"/>
              </a:solidFill>
            </a:rPr>
            <a:t>EDUCACIÓN PRIMARIA</a:t>
          </a:r>
          <a:r>
            <a:rPr lang="es-ES" sz="1200" b="1">
              <a:solidFill>
                <a:schemeClr val="tx1"/>
              </a:solidFill>
            </a:rPr>
            <a:t>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>
              <a:solidFill>
                <a:schemeClr val="tx1"/>
              </a:solidFill>
            </a:rPr>
            <a:t>(RVM </a:t>
          </a:r>
          <a:r>
            <a:rPr lang="es-E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N° 204-2019-MINEDU) </a:t>
          </a:r>
          <a:r>
            <a:rPr lang="es-E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COD. DE MATRICULA: ____________  OBTENIENDO LOS SIGUIENTES RESULTADOS.</a:t>
          </a:r>
          <a:endParaRPr lang="es-PE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 baseline="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399182</xdr:colOff>
      <xdr:row>7</xdr:row>
      <xdr:rowOff>120362</xdr:rowOff>
    </xdr:from>
    <xdr:to>
      <xdr:col>4</xdr:col>
      <xdr:colOff>20787</xdr:colOff>
      <xdr:row>8</xdr:row>
      <xdr:rowOff>182707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A0C7F20-0127-3307-B189-16C4B1784A7C}"/>
            </a:ext>
          </a:extLst>
        </xdr:cNvPr>
        <xdr:cNvSpPr txBox="1"/>
      </xdr:nvSpPr>
      <xdr:spPr>
        <a:xfrm>
          <a:off x="879762" y="1461655"/>
          <a:ext cx="3408218" cy="242454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200" b="1"/>
            <a:t>GERALDINE MERCEDES VILLAGARAY VILLARREAL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71</xdr:row>
      <xdr:rowOff>16451</xdr:rowOff>
    </xdr:from>
    <xdr:to>
      <xdr:col>8</xdr:col>
      <xdr:colOff>420843</xdr:colOff>
      <xdr:row>72</xdr:row>
      <xdr:rowOff>73601</xdr:rowOff>
    </xdr:to>
    <xdr:sp macro="" textlink="">
      <xdr:nvSpPr>
        <xdr:cNvPr id="5" name="5 CuadroTexto">
          <a:extLst>
            <a:ext uri="{FF2B5EF4-FFF2-40B4-BE49-F238E27FC236}">
              <a16:creationId xmlns:a16="http://schemas.microsoft.com/office/drawing/2014/main" id="{466FFA9F-E233-F05E-CC45-BFD16D466E0C}"/>
            </a:ext>
          </a:extLst>
        </xdr:cNvPr>
        <xdr:cNvSpPr txBox="1"/>
      </xdr:nvSpPr>
      <xdr:spPr>
        <a:xfrm>
          <a:off x="0" y="16751876"/>
          <a:ext cx="7012131" cy="21907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100">
              <a:solidFill>
                <a:schemeClr val="tx1"/>
              </a:solidFill>
            </a:rPr>
            <a:t>OBSERVACIONES: ________________________________________________________________________</a:t>
          </a:r>
        </a:p>
      </xdr:txBody>
    </xdr:sp>
    <xdr:clientData/>
  </xdr:twoCellAnchor>
  <xdr:twoCellAnchor>
    <xdr:from>
      <xdr:col>1</xdr:col>
      <xdr:colOff>198121</xdr:colOff>
      <xdr:row>75</xdr:row>
      <xdr:rowOff>154782</xdr:rowOff>
    </xdr:from>
    <xdr:to>
      <xdr:col>2</xdr:col>
      <xdr:colOff>1566626</xdr:colOff>
      <xdr:row>75</xdr:row>
      <xdr:rowOff>159327</xdr:rowOff>
    </xdr:to>
    <xdr:cxnSp macro="">
      <xdr:nvCxnSpPr>
        <xdr:cNvPr id="6" name="6 Conector recto">
          <a:extLst>
            <a:ext uri="{FF2B5EF4-FFF2-40B4-BE49-F238E27FC236}">
              <a16:creationId xmlns:a16="http://schemas.microsoft.com/office/drawing/2014/main" id="{92E02D26-D4C7-E503-A96C-1538DDA1AF1F}"/>
            </a:ext>
          </a:extLst>
        </xdr:cNvPr>
        <xdr:cNvCxnSpPr/>
      </xdr:nvCxnSpPr>
      <xdr:spPr>
        <a:xfrm>
          <a:off x="443173" y="17216655"/>
          <a:ext cx="1641936" cy="454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1216025</xdr:colOff>
      <xdr:row>80</xdr:row>
      <xdr:rowOff>75142</xdr:rowOff>
    </xdr:from>
    <xdr:to>
      <xdr:col>5</xdr:col>
      <xdr:colOff>149403</xdr:colOff>
      <xdr:row>83</xdr:row>
      <xdr:rowOff>112091</xdr:rowOff>
    </xdr:to>
    <xdr:sp macro="" textlink="">
      <xdr:nvSpPr>
        <xdr:cNvPr id="7" name="8 CuadroTexto">
          <a:extLst>
            <a:ext uri="{FF2B5EF4-FFF2-40B4-BE49-F238E27FC236}">
              <a16:creationId xmlns:a16="http://schemas.microsoft.com/office/drawing/2014/main" id="{654EB8EF-84D4-EBE6-69EE-73D1C976463B}"/>
            </a:ext>
          </a:extLst>
        </xdr:cNvPr>
        <xdr:cNvSpPr txBox="1"/>
      </xdr:nvSpPr>
      <xdr:spPr>
        <a:xfrm>
          <a:off x="1726565" y="17784022"/>
          <a:ext cx="2697616" cy="575889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000">
              <a:solidFill>
                <a:schemeClr val="tx1"/>
              </a:solidFill>
            </a:rPr>
            <a:t>V°B° </a:t>
          </a:r>
        </a:p>
        <a:p>
          <a:r>
            <a:rPr lang="es-ES" sz="1000">
              <a:solidFill>
                <a:schemeClr val="tx1"/>
              </a:solidFill>
            </a:rPr>
            <a:t>	</a:t>
          </a:r>
        </a:p>
        <a:p>
          <a:pPr algn="ctr"/>
          <a:r>
            <a:rPr lang="es-ES" sz="1000" i="1">
              <a:solidFill>
                <a:schemeClr val="tx1"/>
              </a:solidFill>
            </a:rPr>
            <a:t> </a:t>
          </a:r>
          <a:r>
            <a:rPr lang="es-ES" sz="1000">
              <a:solidFill>
                <a:schemeClr val="tx1"/>
              </a:solidFill>
            </a:rPr>
            <a:t>SECRETARIO  ACADÉMICO</a:t>
          </a:r>
        </a:p>
      </xdr:txBody>
    </xdr:sp>
    <xdr:clientData/>
  </xdr:twoCellAnchor>
  <xdr:twoCellAnchor>
    <xdr:from>
      <xdr:col>5</xdr:col>
      <xdr:colOff>381211</xdr:colOff>
      <xdr:row>81</xdr:row>
      <xdr:rowOff>2789</xdr:rowOff>
    </xdr:from>
    <xdr:to>
      <xdr:col>8</xdr:col>
      <xdr:colOff>230712</xdr:colOff>
      <xdr:row>84</xdr:row>
      <xdr:rowOff>1294</xdr:rowOff>
    </xdr:to>
    <xdr:sp macro="" textlink="">
      <xdr:nvSpPr>
        <xdr:cNvPr id="8" name="9 CuadroTexto">
          <a:extLst>
            <a:ext uri="{FF2B5EF4-FFF2-40B4-BE49-F238E27FC236}">
              <a16:creationId xmlns:a16="http://schemas.microsoft.com/office/drawing/2014/main" id="{0049EFF1-7CD8-2EFF-B180-4D1D27C2452D}"/>
            </a:ext>
          </a:extLst>
        </xdr:cNvPr>
        <xdr:cNvSpPr txBox="1"/>
      </xdr:nvSpPr>
      <xdr:spPr>
        <a:xfrm>
          <a:off x="4665556" y="17890292"/>
          <a:ext cx="1891661" cy="54714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r>
            <a:rPr lang="es-ES" sz="1000" baseline="0">
              <a:solidFill>
                <a:schemeClr val="tx1"/>
              </a:solidFill>
            </a:rPr>
            <a:t>    </a:t>
          </a:r>
          <a:r>
            <a:rPr lang="es-ES" sz="1000">
              <a:solidFill>
                <a:schemeClr val="tx1"/>
              </a:solidFill>
            </a:rPr>
            <a:t>DIRECTOR(A) GENERAL</a:t>
          </a:r>
        </a:p>
      </xdr:txBody>
    </xdr:sp>
    <xdr:clientData/>
  </xdr:twoCellAnchor>
  <xdr:twoCellAnchor>
    <xdr:from>
      <xdr:col>7</xdr:col>
      <xdr:colOff>666750</xdr:colOff>
      <xdr:row>0</xdr:row>
      <xdr:rowOff>104775</xdr:rowOff>
    </xdr:from>
    <xdr:to>
      <xdr:col>8</xdr:col>
      <xdr:colOff>371475</xdr:colOff>
      <xdr:row>5</xdr:row>
      <xdr:rowOff>19050</xdr:rowOff>
    </xdr:to>
    <xdr:pic>
      <xdr:nvPicPr>
        <xdr:cNvPr id="80373" name="Picture 28">
          <a:extLst>
            <a:ext uri="{FF2B5EF4-FFF2-40B4-BE49-F238E27FC236}">
              <a16:creationId xmlns:a16="http://schemas.microsoft.com/office/drawing/2014/main" id="{5E358D36-D404-9761-D20B-4680868B6D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104775"/>
          <a:ext cx="590550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1546518</xdr:colOff>
      <xdr:row>82</xdr:row>
      <xdr:rowOff>13434</xdr:rowOff>
    </xdr:from>
    <xdr:to>
      <xdr:col>3</xdr:col>
      <xdr:colOff>378270</xdr:colOff>
      <xdr:row>82</xdr:row>
      <xdr:rowOff>20782</xdr:rowOff>
    </xdr:to>
    <xdr:cxnSp macro="">
      <xdr:nvCxnSpPr>
        <xdr:cNvPr id="10" name="Conector recto 9">
          <a:extLst>
            <a:ext uri="{FF2B5EF4-FFF2-40B4-BE49-F238E27FC236}">
              <a16:creationId xmlns:a16="http://schemas.microsoft.com/office/drawing/2014/main" id="{AFB50AF1-090A-EAEA-D332-C1B5B505DE08}"/>
            </a:ext>
          </a:extLst>
        </xdr:cNvPr>
        <xdr:cNvCxnSpPr/>
      </xdr:nvCxnSpPr>
      <xdr:spPr>
        <a:xfrm>
          <a:off x="2065198" y="18322216"/>
          <a:ext cx="2008038" cy="734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159936</xdr:colOff>
      <xdr:row>82</xdr:row>
      <xdr:rowOff>0</xdr:rowOff>
    </xdr:from>
    <xdr:to>
      <xdr:col>8</xdr:col>
      <xdr:colOff>94464</xdr:colOff>
      <xdr:row>82</xdr:row>
      <xdr:rowOff>2196</xdr:rowOff>
    </xdr:to>
    <xdr:cxnSp macro="">
      <xdr:nvCxnSpPr>
        <xdr:cNvPr id="11" name="Conector recto 10">
          <a:extLst>
            <a:ext uri="{FF2B5EF4-FFF2-40B4-BE49-F238E27FC236}">
              <a16:creationId xmlns:a16="http://schemas.microsoft.com/office/drawing/2014/main" id="{B52BF99C-49FB-05F0-5EBA-A07A2DFA6E54}"/>
            </a:ext>
          </a:extLst>
        </xdr:cNvPr>
        <xdr:cNvCxnSpPr/>
      </xdr:nvCxnSpPr>
      <xdr:spPr>
        <a:xfrm flipV="1">
          <a:off x="5119863" y="18308782"/>
          <a:ext cx="1502610" cy="2196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262106</xdr:colOff>
      <xdr:row>4</xdr:row>
      <xdr:rowOff>101600</xdr:rowOff>
    </xdr:to>
    <xdr:sp macro="" textlink="">
      <xdr:nvSpPr>
        <xdr:cNvPr id="12" name="2 CuadroTexto">
          <a:extLst>
            <a:ext uri="{FF2B5EF4-FFF2-40B4-BE49-F238E27FC236}">
              <a16:creationId xmlns:a16="http://schemas.microsoft.com/office/drawing/2014/main" id="{68633186-0D53-05B5-0E50-8CE0092F53BA}"/>
            </a:ext>
          </a:extLst>
        </xdr:cNvPr>
        <xdr:cNvSpPr txBox="1"/>
      </xdr:nvSpPr>
      <xdr:spPr>
        <a:xfrm>
          <a:off x="0" y="0"/>
          <a:ext cx="4195915" cy="86360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Instituto de Educación Superior Pedagógico Público</a:t>
          </a:r>
        </a:p>
        <a:p>
          <a:pPr algn="ctr"/>
          <a:endParaRPr lang="es-ES" sz="8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800" b="0" i="1">
              <a:solidFill>
                <a:schemeClr val="tx1"/>
              </a:solidFill>
              <a:latin typeface="Brush Script MT" panose="03060802040406070304" pitchFamily="66" charset="0"/>
              <a:ea typeface="+mn-ea"/>
              <a:cs typeface="+mn-cs"/>
            </a:rPr>
            <a:t>“Gustavo Allende Llaveria” </a:t>
          </a:r>
        </a:p>
        <a:p>
          <a:pPr algn="ctr">
            <a:lnSpc>
              <a:spcPts val="1100"/>
            </a:lnSpc>
          </a:pPr>
          <a:endParaRPr lang="es-ES" sz="800" b="0">
            <a:solidFill>
              <a:schemeClr val="tx1"/>
            </a:solidFill>
            <a:latin typeface="Brush Script MT" panose="03060802040406070304" pitchFamily="66" charset="0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Tarma</a:t>
          </a:r>
          <a:endParaRPr lang="es-E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565151</xdr:colOff>
      <xdr:row>5</xdr:row>
      <xdr:rowOff>187325</xdr:rowOff>
    </xdr:from>
    <xdr:to>
      <xdr:col>8</xdr:col>
      <xdr:colOff>4930</xdr:colOff>
      <xdr:row>8</xdr:row>
      <xdr:rowOff>101508</xdr:rowOff>
    </xdr:to>
    <xdr:sp macro="" textlink="">
      <xdr:nvSpPr>
        <xdr:cNvPr id="13" name="4 CuadroTexto">
          <a:extLst>
            <a:ext uri="{FF2B5EF4-FFF2-40B4-BE49-F238E27FC236}">
              <a16:creationId xmlns:a16="http://schemas.microsoft.com/office/drawing/2014/main" id="{BEBE4282-2DA6-9A6E-334D-47FDD8AE2B75}"/>
            </a:ext>
          </a:extLst>
        </xdr:cNvPr>
        <xdr:cNvSpPr txBox="1"/>
      </xdr:nvSpPr>
      <xdr:spPr>
        <a:xfrm>
          <a:off x="1058334" y="1083733"/>
          <a:ext cx="5348786" cy="396783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600" b="1">
              <a:solidFill>
                <a:schemeClr val="tx1"/>
              </a:solidFill>
              <a:latin typeface="News706 BT" panose="02040804060705020204" pitchFamily="18" charset="0"/>
            </a:rPr>
            <a:t>FICHA DE RENDIMIENTO ACADÉMICO</a:t>
          </a:r>
        </a:p>
      </xdr:txBody>
    </xdr:sp>
    <xdr:clientData/>
  </xdr:twoCellAnchor>
  <xdr:twoCellAnchor>
    <xdr:from>
      <xdr:col>0</xdr:col>
      <xdr:colOff>0</xdr:colOff>
      <xdr:row>9</xdr:row>
      <xdr:rowOff>24341</xdr:rowOff>
    </xdr:from>
    <xdr:to>
      <xdr:col>9</xdr:col>
      <xdr:colOff>19352</xdr:colOff>
      <xdr:row>11</xdr:row>
      <xdr:rowOff>494683</xdr:rowOff>
    </xdr:to>
    <xdr:sp macro="" textlink="">
      <xdr:nvSpPr>
        <xdr:cNvPr id="14" name="3 CuadroTexto">
          <a:extLst>
            <a:ext uri="{FF2B5EF4-FFF2-40B4-BE49-F238E27FC236}">
              <a16:creationId xmlns:a16="http://schemas.microsoft.com/office/drawing/2014/main" id="{D88890B2-FE03-E6CF-C838-342504567BB1}"/>
            </a:ext>
          </a:extLst>
        </xdr:cNvPr>
        <xdr:cNvSpPr txBox="1"/>
      </xdr:nvSpPr>
      <xdr:spPr>
        <a:xfrm>
          <a:off x="0" y="1608666"/>
          <a:ext cx="6936619" cy="833362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l"/>
          <a:r>
            <a:rPr lang="es-ES" sz="1100">
              <a:solidFill>
                <a:schemeClr val="tx1"/>
              </a:solidFill>
            </a:rPr>
            <a:t>A DON (ÑA) _________________________________________________ QUIEN  HA CURSADO ESTUDIOS SUPERIORES</a:t>
          </a:r>
        </a:p>
        <a:p>
          <a:pPr algn="l"/>
          <a:endParaRPr lang="es-ES" sz="300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100">
              <a:solidFill>
                <a:schemeClr val="tx1"/>
              </a:solidFill>
            </a:rPr>
            <a:t>EN ESTA</a:t>
          </a:r>
          <a:r>
            <a:rPr lang="es-ES" sz="1100" baseline="0">
              <a:solidFill>
                <a:schemeClr val="tx1"/>
              </a:solidFill>
            </a:rPr>
            <a:t> CASA </a:t>
          </a:r>
          <a:r>
            <a:rPr lang="es-ES" sz="1100">
              <a:solidFill>
                <a:schemeClr val="tx1"/>
              </a:solidFill>
            </a:rPr>
            <a:t>DE FORMACIÓN MAGISTERIAL EN  EL PROGRAMA DE ESTUDIOS DE:  </a:t>
          </a:r>
          <a:r>
            <a:rPr lang="es-ES" sz="1400" b="1">
              <a:solidFill>
                <a:schemeClr val="tx1"/>
              </a:solidFill>
            </a:rPr>
            <a:t>EDUCACIÓN FISICA</a:t>
          </a:r>
          <a:endParaRPr lang="es-E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>
              <a:solidFill>
                <a:schemeClr val="tx1"/>
              </a:solidFill>
            </a:rPr>
            <a:t>(RVM </a:t>
          </a:r>
          <a:r>
            <a:rPr lang="es-E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N° 147-2020-MINEDU) </a:t>
          </a:r>
          <a:r>
            <a:rPr lang="es-E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COD. DE MATRICULA: ____________  OBTENIENDO LOS SIGUIENTES RESULTADOS.</a:t>
          </a:r>
          <a:endParaRPr lang="es-PE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 baseline="0">
            <a:solidFill>
              <a:schemeClr val="tx1"/>
            </a:solidFill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70</xdr:row>
      <xdr:rowOff>45026</xdr:rowOff>
    </xdr:from>
    <xdr:to>
      <xdr:col>8</xdr:col>
      <xdr:colOff>430360</xdr:colOff>
      <xdr:row>71</xdr:row>
      <xdr:rowOff>111990</xdr:rowOff>
    </xdr:to>
    <xdr:sp macro="" textlink="">
      <xdr:nvSpPr>
        <xdr:cNvPr id="2" name="5 CuadroTexto">
          <a:extLst>
            <a:ext uri="{FF2B5EF4-FFF2-40B4-BE49-F238E27FC236}">
              <a16:creationId xmlns:a16="http://schemas.microsoft.com/office/drawing/2014/main" id="{B3ACFA70-1C14-F6A2-2C21-AB936A8C8A79}"/>
            </a:ext>
          </a:extLst>
        </xdr:cNvPr>
        <xdr:cNvSpPr txBox="1"/>
      </xdr:nvSpPr>
      <xdr:spPr>
        <a:xfrm>
          <a:off x="0" y="16275626"/>
          <a:ext cx="6863541" cy="21717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100">
              <a:solidFill>
                <a:schemeClr val="tx1"/>
              </a:solidFill>
            </a:rPr>
            <a:t>OBSERVACIONES: ________________________________________________________________________</a:t>
          </a:r>
        </a:p>
      </xdr:txBody>
    </xdr:sp>
    <xdr:clientData/>
  </xdr:twoCellAnchor>
  <xdr:twoCellAnchor>
    <xdr:from>
      <xdr:col>1</xdr:col>
      <xdr:colOff>198121</xdr:colOff>
      <xdr:row>74</xdr:row>
      <xdr:rowOff>154782</xdr:rowOff>
    </xdr:from>
    <xdr:to>
      <xdr:col>2</xdr:col>
      <xdr:colOff>1575938</xdr:colOff>
      <xdr:row>74</xdr:row>
      <xdr:rowOff>159327</xdr:rowOff>
    </xdr:to>
    <xdr:cxnSp macro="">
      <xdr:nvCxnSpPr>
        <xdr:cNvPr id="3" name="6 Conector recto">
          <a:extLst>
            <a:ext uri="{FF2B5EF4-FFF2-40B4-BE49-F238E27FC236}">
              <a16:creationId xmlns:a16="http://schemas.microsoft.com/office/drawing/2014/main" id="{7DED9ABB-C0FA-DF56-E179-AFCAF1F201A4}"/>
            </a:ext>
          </a:extLst>
        </xdr:cNvPr>
        <xdr:cNvCxnSpPr/>
      </xdr:nvCxnSpPr>
      <xdr:spPr>
        <a:xfrm>
          <a:off x="443866" y="17276922"/>
          <a:ext cx="1642628" cy="454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1216025</xdr:colOff>
      <xdr:row>79</xdr:row>
      <xdr:rowOff>75142</xdr:rowOff>
    </xdr:from>
    <xdr:to>
      <xdr:col>5</xdr:col>
      <xdr:colOff>149348</xdr:colOff>
      <xdr:row>82</xdr:row>
      <xdr:rowOff>102391</xdr:rowOff>
    </xdr:to>
    <xdr:sp macro="" textlink="">
      <xdr:nvSpPr>
        <xdr:cNvPr id="4" name="8 CuadroTexto">
          <a:extLst>
            <a:ext uri="{FF2B5EF4-FFF2-40B4-BE49-F238E27FC236}">
              <a16:creationId xmlns:a16="http://schemas.microsoft.com/office/drawing/2014/main" id="{72FCD48A-A88E-2494-0DB5-B7BE88A9ADAE}"/>
            </a:ext>
          </a:extLst>
        </xdr:cNvPr>
        <xdr:cNvSpPr txBox="1"/>
      </xdr:nvSpPr>
      <xdr:spPr>
        <a:xfrm>
          <a:off x="1726565" y="18096442"/>
          <a:ext cx="2903356" cy="575889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ES" sz="1000">
              <a:solidFill>
                <a:schemeClr val="tx1"/>
              </a:solidFill>
            </a:rPr>
            <a:t>V°B° </a:t>
          </a:r>
        </a:p>
        <a:p>
          <a:r>
            <a:rPr lang="es-ES" sz="1000">
              <a:solidFill>
                <a:schemeClr val="tx1"/>
              </a:solidFill>
            </a:rPr>
            <a:t>	</a:t>
          </a:r>
        </a:p>
        <a:p>
          <a:pPr algn="ctr"/>
          <a:r>
            <a:rPr lang="es-ES" sz="1000" i="1">
              <a:solidFill>
                <a:schemeClr val="tx1"/>
              </a:solidFill>
            </a:rPr>
            <a:t> </a:t>
          </a:r>
          <a:r>
            <a:rPr lang="es-ES" sz="1000">
              <a:solidFill>
                <a:schemeClr val="tx1"/>
              </a:solidFill>
            </a:rPr>
            <a:t>SECRETARIO  ACADÉMICO</a:t>
          </a:r>
        </a:p>
      </xdr:txBody>
    </xdr:sp>
    <xdr:clientData/>
  </xdr:twoCellAnchor>
  <xdr:twoCellAnchor>
    <xdr:from>
      <xdr:col>5</xdr:col>
      <xdr:colOff>381211</xdr:colOff>
      <xdr:row>79</xdr:row>
      <xdr:rowOff>181412</xdr:rowOff>
    </xdr:from>
    <xdr:to>
      <xdr:col>8</xdr:col>
      <xdr:colOff>240236</xdr:colOff>
      <xdr:row>82</xdr:row>
      <xdr:rowOff>179917</xdr:rowOff>
    </xdr:to>
    <xdr:sp macro="" textlink="">
      <xdr:nvSpPr>
        <xdr:cNvPr id="5" name="9 CuadroTexto">
          <a:extLst>
            <a:ext uri="{FF2B5EF4-FFF2-40B4-BE49-F238E27FC236}">
              <a16:creationId xmlns:a16="http://schemas.microsoft.com/office/drawing/2014/main" id="{42AFD351-76A4-700B-5EBD-76A51180FE33}"/>
            </a:ext>
          </a:extLst>
        </xdr:cNvPr>
        <xdr:cNvSpPr txBox="1"/>
      </xdr:nvSpPr>
      <xdr:spPr>
        <a:xfrm>
          <a:off x="4871296" y="18202712"/>
          <a:ext cx="1792601" cy="54714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endParaRPr lang="es-ES" sz="500">
            <a:solidFill>
              <a:schemeClr val="tx1"/>
            </a:solidFill>
          </a:endParaRPr>
        </a:p>
        <a:p>
          <a:pPr algn="ctr">
            <a:lnSpc>
              <a:spcPts val="900"/>
            </a:lnSpc>
          </a:pPr>
          <a:r>
            <a:rPr lang="es-ES" sz="1000" baseline="0">
              <a:solidFill>
                <a:schemeClr val="tx1"/>
              </a:solidFill>
            </a:rPr>
            <a:t>    </a:t>
          </a:r>
          <a:r>
            <a:rPr lang="es-ES" sz="1000">
              <a:solidFill>
                <a:schemeClr val="tx1"/>
              </a:solidFill>
            </a:rPr>
            <a:t>DIRECTOR(A) GENERAL</a:t>
          </a:r>
        </a:p>
      </xdr:txBody>
    </xdr:sp>
    <xdr:clientData/>
  </xdr:twoCellAnchor>
  <xdr:twoCellAnchor>
    <xdr:from>
      <xdr:col>7</xdr:col>
      <xdr:colOff>723900</xdr:colOff>
      <xdr:row>0</xdr:row>
      <xdr:rowOff>0</xdr:rowOff>
    </xdr:from>
    <xdr:to>
      <xdr:col>8</xdr:col>
      <xdr:colOff>428625</xdr:colOff>
      <xdr:row>4</xdr:row>
      <xdr:rowOff>28575</xdr:rowOff>
    </xdr:to>
    <xdr:pic>
      <xdr:nvPicPr>
        <xdr:cNvPr id="79583" name="Picture 28">
          <a:extLst>
            <a:ext uri="{FF2B5EF4-FFF2-40B4-BE49-F238E27FC236}">
              <a16:creationId xmlns:a16="http://schemas.microsoft.com/office/drawing/2014/main" id="{4159A212-87A9-CB47-4ECA-A6B5B32215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00750" y="0"/>
          <a:ext cx="666750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1546518</xdr:colOff>
      <xdr:row>81</xdr:row>
      <xdr:rowOff>13434</xdr:rowOff>
    </xdr:from>
    <xdr:to>
      <xdr:col>3</xdr:col>
      <xdr:colOff>387960</xdr:colOff>
      <xdr:row>81</xdr:row>
      <xdr:rowOff>20782</xdr:rowOff>
    </xdr:to>
    <xdr:cxnSp macro="">
      <xdr:nvCxnSpPr>
        <xdr:cNvPr id="7" name="Conector recto 6">
          <a:extLst>
            <a:ext uri="{FF2B5EF4-FFF2-40B4-BE49-F238E27FC236}">
              <a16:creationId xmlns:a16="http://schemas.microsoft.com/office/drawing/2014/main" id="{75AE696D-21C9-0344-B3C2-A019CA6C44CD}"/>
            </a:ext>
          </a:extLst>
        </xdr:cNvPr>
        <xdr:cNvCxnSpPr/>
      </xdr:nvCxnSpPr>
      <xdr:spPr>
        <a:xfrm>
          <a:off x="2066583" y="18400494"/>
          <a:ext cx="2009424" cy="7348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159936</xdr:colOff>
      <xdr:row>81</xdr:row>
      <xdr:rowOff>0</xdr:rowOff>
    </xdr:from>
    <xdr:to>
      <xdr:col>8</xdr:col>
      <xdr:colOff>103909</xdr:colOff>
      <xdr:row>81</xdr:row>
      <xdr:rowOff>2196</xdr:rowOff>
    </xdr:to>
    <xdr:cxnSp macro="">
      <xdr:nvCxnSpPr>
        <xdr:cNvPr id="8" name="Conector recto 7">
          <a:extLst>
            <a:ext uri="{FF2B5EF4-FFF2-40B4-BE49-F238E27FC236}">
              <a16:creationId xmlns:a16="http://schemas.microsoft.com/office/drawing/2014/main" id="{52BBA37C-72BD-C3E9-BAE5-C1F1F0ABB6A6}"/>
            </a:ext>
          </a:extLst>
        </xdr:cNvPr>
        <xdr:cNvCxnSpPr/>
      </xdr:nvCxnSpPr>
      <xdr:spPr>
        <a:xfrm flipV="1">
          <a:off x="5120556" y="18387060"/>
          <a:ext cx="1407013" cy="2196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0</xdr:row>
      <xdr:rowOff>0</xdr:rowOff>
    </xdr:from>
    <xdr:to>
      <xdr:col>3</xdr:col>
      <xdr:colOff>271615</xdr:colOff>
      <xdr:row>4</xdr:row>
      <xdr:rowOff>54579</xdr:rowOff>
    </xdr:to>
    <xdr:sp macro="" textlink="">
      <xdr:nvSpPr>
        <xdr:cNvPr id="9" name="2 CuadroTexto">
          <a:extLst>
            <a:ext uri="{FF2B5EF4-FFF2-40B4-BE49-F238E27FC236}">
              <a16:creationId xmlns:a16="http://schemas.microsoft.com/office/drawing/2014/main" id="{BFF2B861-9B07-D059-9D3E-8ED69A151B66}"/>
            </a:ext>
          </a:extLst>
        </xdr:cNvPr>
        <xdr:cNvSpPr txBox="1"/>
      </xdr:nvSpPr>
      <xdr:spPr>
        <a:xfrm>
          <a:off x="0" y="0"/>
          <a:ext cx="3959695" cy="831819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Instituto de Educación Superior Pedagógico Público</a:t>
          </a:r>
        </a:p>
        <a:p>
          <a:pPr algn="ctr"/>
          <a:endParaRPr lang="es-ES" sz="800" b="1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800" b="0" i="1">
              <a:solidFill>
                <a:schemeClr val="tx1"/>
              </a:solidFill>
              <a:latin typeface="Brush Script MT" panose="03060802040406070304" pitchFamily="66" charset="0"/>
              <a:ea typeface="+mn-ea"/>
              <a:cs typeface="+mn-cs"/>
            </a:rPr>
            <a:t>“Gustavo Allende Llaveria” </a:t>
          </a:r>
        </a:p>
        <a:p>
          <a:pPr algn="ctr">
            <a:lnSpc>
              <a:spcPts val="1100"/>
            </a:lnSpc>
          </a:pPr>
          <a:endParaRPr lang="es-ES" sz="800" b="0">
            <a:solidFill>
              <a:schemeClr val="tx1"/>
            </a:solidFill>
            <a:latin typeface="Brush Script MT" panose="03060802040406070304" pitchFamily="66" charset="0"/>
            <a:ea typeface="+mn-ea"/>
            <a:cs typeface="+mn-cs"/>
          </a:endParaRPr>
        </a:p>
        <a:p>
          <a:pPr algn="ctr">
            <a:lnSpc>
              <a:spcPts val="1100"/>
            </a:lnSpc>
          </a:pPr>
          <a:r>
            <a:rPr lang="es-ES" sz="1200" b="1" i="1">
              <a:solidFill>
                <a:schemeClr val="tx1"/>
              </a:solidFill>
              <a:latin typeface="+mn-lt"/>
              <a:ea typeface="+mn-ea"/>
              <a:cs typeface="+mn-cs"/>
            </a:rPr>
            <a:t>Tarma</a:t>
          </a:r>
          <a:endParaRPr lang="es-E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574676</xdr:colOff>
      <xdr:row>5</xdr:row>
      <xdr:rowOff>187325</xdr:rowOff>
    </xdr:from>
    <xdr:to>
      <xdr:col>7</xdr:col>
      <xdr:colOff>934466</xdr:colOff>
      <xdr:row>8</xdr:row>
      <xdr:rowOff>101508</xdr:rowOff>
    </xdr:to>
    <xdr:sp macro="" textlink="">
      <xdr:nvSpPr>
        <xdr:cNvPr id="10" name="4 CuadroTexto">
          <a:extLst>
            <a:ext uri="{FF2B5EF4-FFF2-40B4-BE49-F238E27FC236}">
              <a16:creationId xmlns:a16="http://schemas.microsoft.com/office/drawing/2014/main" id="{20F69F4D-D2A3-F74F-B2A0-C8291DB8F9E0}"/>
            </a:ext>
          </a:extLst>
        </xdr:cNvPr>
        <xdr:cNvSpPr txBox="1"/>
      </xdr:nvSpPr>
      <xdr:spPr>
        <a:xfrm>
          <a:off x="1056641" y="1069340"/>
          <a:ext cx="5339472" cy="386623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ctr"/>
          <a:r>
            <a:rPr lang="es-ES" sz="1600" b="1">
              <a:solidFill>
                <a:schemeClr val="tx1"/>
              </a:solidFill>
              <a:latin typeface="News706 BT" panose="02040804060705020204" pitchFamily="18" charset="0"/>
            </a:rPr>
            <a:t>FICHA DE RENDIMIENTO ACADÉMICO</a:t>
          </a:r>
        </a:p>
      </xdr:txBody>
    </xdr:sp>
    <xdr:clientData/>
  </xdr:twoCellAnchor>
  <xdr:twoCellAnchor>
    <xdr:from>
      <xdr:col>0</xdr:col>
      <xdr:colOff>0</xdr:colOff>
      <xdr:row>9</xdr:row>
      <xdr:rowOff>33866</xdr:rowOff>
    </xdr:from>
    <xdr:to>
      <xdr:col>9</xdr:col>
      <xdr:colOff>9834</xdr:colOff>
      <xdr:row>11</xdr:row>
      <xdr:rowOff>494695</xdr:rowOff>
    </xdr:to>
    <xdr:sp macro="" textlink="">
      <xdr:nvSpPr>
        <xdr:cNvPr id="11" name="3 CuadroTexto">
          <a:extLst>
            <a:ext uri="{FF2B5EF4-FFF2-40B4-BE49-F238E27FC236}">
              <a16:creationId xmlns:a16="http://schemas.microsoft.com/office/drawing/2014/main" id="{4A82359B-EC13-EA0E-3CE7-F7CED0C16997}"/>
            </a:ext>
          </a:extLst>
        </xdr:cNvPr>
        <xdr:cNvSpPr txBox="1"/>
      </xdr:nvSpPr>
      <xdr:spPr>
        <a:xfrm>
          <a:off x="0" y="1580726"/>
          <a:ext cx="6923072" cy="826589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algn="l"/>
          <a:r>
            <a:rPr lang="es-ES" sz="1100">
              <a:solidFill>
                <a:schemeClr val="tx1"/>
              </a:solidFill>
            </a:rPr>
            <a:t>A DON (ÑA) _________________________________________________ QUIEN  HA CURSADO ESTUDIOS SUPERIORES</a:t>
          </a:r>
        </a:p>
        <a:p>
          <a:pPr algn="l"/>
          <a:endParaRPr lang="es-ES" sz="300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100">
              <a:solidFill>
                <a:schemeClr val="tx1"/>
              </a:solidFill>
            </a:rPr>
            <a:t>EN ESTA</a:t>
          </a:r>
          <a:r>
            <a:rPr lang="es-ES" sz="1100" baseline="0">
              <a:solidFill>
                <a:schemeClr val="tx1"/>
              </a:solidFill>
            </a:rPr>
            <a:t> CASA </a:t>
          </a:r>
          <a:r>
            <a:rPr lang="es-ES" sz="1100">
              <a:solidFill>
                <a:schemeClr val="tx1"/>
              </a:solidFill>
            </a:rPr>
            <a:t>DE FORMACIÓN MAGISTERIAL EN  EL PROGRAMA DE ESTUDIOS DE:  </a:t>
          </a:r>
          <a:r>
            <a:rPr lang="es-ES" sz="1400" b="1">
              <a:solidFill>
                <a:schemeClr val="tx1"/>
              </a:solidFill>
            </a:rPr>
            <a:t>COMUNICACIÓN</a:t>
          </a:r>
          <a:endParaRPr lang="es-E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ES" sz="1200" b="1">
              <a:solidFill>
                <a:schemeClr val="tx1"/>
              </a:solidFill>
            </a:rPr>
            <a:t>(RVM </a:t>
          </a:r>
          <a:r>
            <a:rPr lang="es-ES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N° 143-2020-MINEDU) </a:t>
          </a:r>
          <a:r>
            <a:rPr lang="es-E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COD. DE MATRICULA: ____________  OBTENIENDO LOS SIGUIENTES RESULTADOS.</a:t>
          </a:r>
          <a:endParaRPr lang="es-PE" sz="1200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1200" b="1">
            <a:solidFill>
              <a:schemeClr val="tx1"/>
            </a:solidFill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ES" sz="300" b="1" baseline="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E4DE2-0617-46D3-887C-AA1634AA36BF}">
  <sheetPr codeName="Hoja6"/>
  <dimension ref="A1:K100"/>
  <sheetViews>
    <sheetView topLeftCell="A47" zoomScale="80" zoomScaleNormal="80" zoomScaleSheetLayoutView="70" workbookViewId="0">
      <selection activeCell="D72" sqref="D72"/>
    </sheetView>
  </sheetViews>
  <sheetFormatPr baseColWidth="10" defaultRowHeight="15" x14ac:dyDescent="0.25"/>
  <cols>
    <col min="1" max="2" width="3.42578125" customWidth="1"/>
    <col min="3" max="3" width="50.5703125" customWidth="1"/>
    <col min="4" max="4" width="6.140625" customWidth="1"/>
    <col min="5" max="5" width="5.42578125" customWidth="1"/>
    <col min="6" max="6" width="7" customWidth="1"/>
    <col min="7" max="7" width="6.85546875" customWidth="1"/>
    <col min="8" max="8" width="15.7109375" customWidth="1"/>
    <col min="9" max="9" width="5.85546875" customWidth="1"/>
  </cols>
  <sheetData>
    <row r="1" spans="1:10" x14ac:dyDescent="0.25">
      <c r="A1" s="4"/>
      <c r="B1" s="4"/>
      <c r="C1" s="4"/>
      <c r="D1" s="4"/>
      <c r="E1" s="4"/>
      <c r="F1" s="4"/>
      <c r="G1" s="4"/>
      <c r="H1" s="4"/>
      <c r="I1" s="4"/>
      <c r="J1" s="4"/>
    </row>
    <row r="2" spans="1:10" x14ac:dyDescent="0.2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x14ac:dyDescent="0.25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18" customHeight="1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 ht="9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ht="8.4499999999999993" customHeight="1" x14ac:dyDescent="0.25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 ht="24.6" customHeight="1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ht="28.1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ht="30.6" customHeight="1" x14ac:dyDescent="0.25">
      <c r="A13" s="100" t="s">
        <v>116</v>
      </c>
      <c r="B13" s="19" t="s">
        <v>117</v>
      </c>
      <c r="C13" s="19" t="s">
        <v>0</v>
      </c>
      <c r="D13" s="19" t="s">
        <v>141</v>
      </c>
      <c r="E13" s="19" t="s">
        <v>1</v>
      </c>
      <c r="F13" s="19" t="s">
        <v>2</v>
      </c>
      <c r="G13" s="19" t="s">
        <v>3</v>
      </c>
      <c r="H13" s="19" t="s">
        <v>4</v>
      </c>
      <c r="I13" s="19" t="s">
        <v>5</v>
      </c>
      <c r="J13" s="4"/>
    </row>
    <row r="14" spans="1:10" ht="18" customHeight="1" x14ac:dyDescent="0.25">
      <c r="A14" s="116" t="s">
        <v>64</v>
      </c>
      <c r="B14" s="30">
        <v>1</v>
      </c>
      <c r="C14" s="61" t="s">
        <v>19</v>
      </c>
      <c r="D14" s="32">
        <v>4</v>
      </c>
      <c r="E14" s="31">
        <v>3</v>
      </c>
      <c r="F14" s="31"/>
      <c r="G14" s="31"/>
      <c r="H14" s="31"/>
      <c r="I14" s="31"/>
      <c r="J14" s="33"/>
    </row>
    <row r="15" spans="1:10" ht="18" customHeight="1" x14ac:dyDescent="0.25">
      <c r="A15" s="113"/>
      <c r="B15" s="30">
        <v>2</v>
      </c>
      <c r="C15" s="61" t="s">
        <v>26</v>
      </c>
      <c r="D15" s="32">
        <v>4</v>
      </c>
      <c r="E15" s="31">
        <v>3</v>
      </c>
      <c r="F15" s="31"/>
      <c r="G15" s="31"/>
      <c r="H15" s="31"/>
      <c r="I15" s="31"/>
      <c r="J15" s="33"/>
    </row>
    <row r="16" spans="1:10" ht="18" customHeight="1" x14ac:dyDescent="0.25">
      <c r="A16" s="113"/>
      <c r="B16" s="30">
        <v>3</v>
      </c>
      <c r="C16" s="61" t="s">
        <v>28</v>
      </c>
      <c r="D16" s="32">
        <v>4</v>
      </c>
      <c r="E16" s="31">
        <v>3</v>
      </c>
      <c r="F16" s="31"/>
      <c r="G16" s="31"/>
      <c r="H16" s="31"/>
      <c r="I16" s="31"/>
      <c r="J16" s="33"/>
    </row>
    <row r="17" spans="1:11" ht="18" customHeight="1" x14ac:dyDescent="0.25">
      <c r="A17" s="113"/>
      <c r="B17" s="30">
        <v>4</v>
      </c>
      <c r="C17" s="61" t="s">
        <v>32</v>
      </c>
      <c r="D17" s="32">
        <v>6</v>
      </c>
      <c r="E17" s="31">
        <v>5</v>
      </c>
      <c r="F17" s="31"/>
      <c r="G17" s="31"/>
      <c r="H17" s="31"/>
      <c r="I17" s="31"/>
      <c r="J17" s="33"/>
    </row>
    <row r="18" spans="1:11" ht="18" customHeight="1" x14ac:dyDescent="0.25">
      <c r="A18" s="113"/>
      <c r="B18" s="30">
        <v>5</v>
      </c>
      <c r="C18" s="61" t="s">
        <v>42</v>
      </c>
      <c r="D18" s="32">
        <v>6</v>
      </c>
      <c r="E18" s="31">
        <v>5</v>
      </c>
      <c r="F18" s="31"/>
      <c r="G18" s="31"/>
      <c r="H18" s="31"/>
      <c r="I18" s="31"/>
      <c r="J18" s="33"/>
    </row>
    <row r="19" spans="1:11" ht="18" customHeight="1" thickBot="1" x14ac:dyDescent="0.3">
      <c r="A19" s="117"/>
      <c r="B19" s="34">
        <v>6</v>
      </c>
      <c r="C19" s="63" t="s">
        <v>142</v>
      </c>
      <c r="D19" s="36">
        <v>6</v>
      </c>
      <c r="E19" s="35">
        <v>5</v>
      </c>
      <c r="F19" s="35"/>
      <c r="G19" s="35"/>
      <c r="H19" s="35"/>
      <c r="I19" s="35">
        <f>SUM(E14+E15+E16+E17+E18+E19)</f>
        <v>24</v>
      </c>
      <c r="J19" s="33"/>
    </row>
    <row r="20" spans="1:11" ht="18" customHeight="1" x14ac:dyDescent="0.25">
      <c r="A20" s="112" t="s">
        <v>59</v>
      </c>
      <c r="B20" s="37">
        <v>1</v>
      </c>
      <c r="C20" s="64" t="s">
        <v>20</v>
      </c>
      <c r="D20" s="39">
        <v>4</v>
      </c>
      <c r="E20" s="38">
        <v>3</v>
      </c>
      <c r="F20" s="38"/>
      <c r="G20" s="38"/>
      <c r="H20" s="38"/>
      <c r="I20" s="38"/>
      <c r="J20" s="33"/>
    </row>
    <row r="21" spans="1:11" ht="18" customHeight="1" x14ac:dyDescent="0.25">
      <c r="A21" s="113"/>
      <c r="B21" s="30">
        <v>2</v>
      </c>
      <c r="C21" s="61" t="s">
        <v>27</v>
      </c>
      <c r="D21" s="32">
        <v>4</v>
      </c>
      <c r="E21" s="31">
        <v>3</v>
      </c>
      <c r="F21" s="31"/>
      <c r="G21" s="31"/>
      <c r="H21" s="31"/>
      <c r="I21" s="31"/>
      <c r="J21" s="33"/>
    </row>
    <row r="22" spans="1:11" ht="18" customHeight="1" x14ac:dyDescent="0.25">
      <c r="A22" s="113"/>
      <c r="B22" s="30">
        <v>3</v>
      </c>
      <c r="C22" s="61" t="s">
        <v>30</v>
      </c>
      <c r="D22" s="32">
        <v>4</v>
      </c>
      <c r="E22" s="31">
        <v>3</v>
      </c>
      <c r="F22" s="31"/>
      <c r="G22" s="31"/>
      <c r="H22" s="31"/>
      <c r="I22" s="31"/>
      <c r="J22" s="33"/>
    </row>
    <row r="23" spans="1:11" ht="18" customHeight="1" x14ac:dyDescent="0.25">
      <c r="A23" s="113"/>
      <c r="B23" s="30">
        <v>4</v>
      </c>
      <c r="C23" s="61" t="s">
        <v>33</v>
      </c>
      <c r="D23" s="32">
        <v>6</v>
      </c>
      <c r="E23" s="31">
        <v>5</v>
      </c>
      <c r="F23" s="31"/>
      <c r="G23" s="31"/>
      <c r="H23" s="31"/>
      <c r="I23" s="31"/>
      <c r="J23" s="33"/>
    </row>
    <row r="24" spans="1:11" ht="18" customHeight="1" x14ac:dyDescent="0.25">
      <c r="A24" s="113"/>
      <c r="B24" s="41">
        <v>5</v>
      </c>
      <c r="C24" s="61" t="s">
        <v>143</v>
      </c>
      <c r="D24" s="32">
        <v>6</v>
      </c>
      <c r="E24" s="31">
        <v>5</v>
      </c>
      <c r="F24" s="31"/>
      <c r="G24" s="31"/>
      <c r="H24" s="31"/>
      <c r="I24" s="31"/>
      <c r="J24" s="33"/>
      <c r="K24" s="61"/>
    </row>
    <row r="25" spans="1:11" ht="18" customHeight="1" thickBot="1" x14ac:dyDescent="0.3">
      <c r="A25" s="113"/>
      <c r="B25" s="34">
        <v>6</v>
      </c>
      <c r="C25" s="63" t="s">
        <v>144</v>
      </c>
      <c r="D25" s="36">
        <v>6</v>
      </c>
      <c r="E25" s="35">
        <v>5</v>
      </c>
      <c r="F25" s="98"/>
      <c r="G25" s="35"/>
      <c r="H25" s="35"/>
      <c r="I25" s="35">
        <f>SUM(E20+E21+E22+E23+E24+E25)</f>
        <v>24</v>
      </c>
      <c r="J25" s="33"/>
    </row>
    <row r="26" spans="1:11" ht="18" customHeight="1" x14ac:dyDescent="0.25">
      <c r="A26" s="121" t="s">
        <v>60</v>
      </c>
      <c r="B26" s="37">
        <v>1</v>
      </c>
      <c r="C26" s="64" t="s">
        <v>21</v>
      </c>
      <c r="D26" s="39">
        <v>4</v>
      </c>
      <c r="E26" s="38">
        <v>3</v>
      </c>
      <c r="F26" s="38"/>
      <c r="G26" s="38"/>
      <c r="H26" s="38"/>
      <c r="I26" s="38"/>
      <c r="J26" s="33"/>
    </row>
    <row r="27" spans="1:11" ht="18" customHeight="1" x14ac:dyDescent="0.25">
      <c r="A27" s="113"/>
      <c r="B27" s="30">
        <v>2</v>
      </c>
      <c r="C27" s="61" t="s">
        <v>147</v>
      </c>
      <c r="D27" s="32">
        <v>4</v>
      </c>
      <c r="E27" s="31">
        <v>3</v>
      </c>
      <c r="F27" s="31"/>
      <c r="G27" s="31"/>
      <c r="H27" s="31"/>
      <c r="I27" s="31"/>
      <c r="J27" s="33"/>
    </row>
    <row r="28" spans="1:11" ht="18" customHeight="1" x14ac:dyDescent="0.25">
      <c r="A28" s="113"/>
      <c r="B28" s="30">
        <v>3</v>
      </c>
      <c r="C28" s="61" t="s">
        <v>29</v>
      </c>
      <c r="D28" s="32">
        <v>4</v>
      </c>
      <c r="E28" s="31">
        <v>3</v>
      </c>
      <c r="F28" s="31"/>
      <c r="G28" s="31"/>
      <c r="H28" s="31"/>
      <c r="I28" s="31"/>
      <c r="J28" s="33"/>
    </row>
    <row r="29" spans="1:11" ht="18" customHeight="1" x14ac:dyDescent="0.25">
      <c r="A29" s="113"/>
      <c r="B29" s="30">
        <v>4</v>
      </c>
      <c r="C29" s="61" t="s">
        <v>34</v>
      </c>
      <c r="D29" s="32">
        <v>6</v>
      </c>
      <c r="E29" s="31">
        <v>5</v>
      </c>
      <c r="F29" s="31"/>
      <c r="G29" s="31"/>
      <c r="H29" s="31"/>
      <c r="I29" s="31"/>
      <c r="J29" s="33"/>
    </row>
    <row r="30" spans="1:11" ht="18" customHeight="1" x14ac:dyDescent="0.25">
      <c r="A30" s="113"/>
      <c r="B30" s="30">
        <v>5</v>
      </c>
      <c r="C30" s="61" t="s">
        <v>43</v>
      </c>
      <c r="D30" s="32">
        <v>4</v>
      </c>
      <c r="E30" s="31">
        <v>3</v>
      </c>
      <c r="F30" s="31"/>
      <c r="G30" s="31"/>
      <c r="H30" s="31"/>
      <c r="I30" s="31"/>
      <c r="J30" s="33"/>
    </row>
    <row r="31" spans="1:11" ht="18" customHeight="1" x14ac:dyDescent="0.25">
      <c r="A31" s="114"/>
      <c r="B31" s="44">
        <v>6</v>
      </c>
      <c r="C31" s="61" t="s">
        <v>44</v>
      </c>
      <c r="D31" s="32">
        <v>4</v>
      </c>
      <c r="E31" s="31">
        <v>3</v>
      </c>
      <c r="F31" s="31"/>
      <c r="G31" s="40"/>
      <c r="H31" s="40"/>
      <c r="I31" s="40"/>
      <c r="J31" s="33"/>
    </row>
    <row r="32" spans="1:11" ht="18" customHeight="1" thickBot="1" x14ac:dyDescent="0.3">
      <c r="A32" s="117"/>
      <c r="B32" s="34">
        <v>7</v>
      </c>
      <c r="C32" s="67" t="s">
        <v>90</v>
      </c>
      <c r="D32" s="45">
        <v>4</v>
      </c>
      <c r="E32" s="43">
        <v>3</v>
      </c>
      <c r="F32" s="43"/>
      <c r="G32" s="35"/>
      <c r="H32" s="35"/>
      <c r="I32" s="35">
        <f>SUM(E26+E27+E28+E29+E30+E31+E32)</f>
        <v>23</v>
      </c>
      <c r="J32" s="33"/>
    </row>
    <row r="33" spans="1:10" ht="18" customHeight="1" x14ac:dyDescent="0.25">
      <c r="A33" s="112" t="s">
        <v>61</v>
      </c>
      <c r="B33" s="37">
        <v>1</v>
      </c>
      <c r="C33" s="64" t="s">
        <v>22</v>
      </c>
      <c r="D33" s="39">
        <v>4</v>
      </c>
      <c r="E33" s="38">
        <v>3</v>
      </c>
      <c r="F33" s="38"/>
      <c r="G33" s="38"/>
      <c r="H33" s="38"/>
      <c r="I33" s="38"/>
      <c r="J33" s="33"/>
    </row>
    <row r="34" spans="1:10" ht="18" customHeight="1" x14ac:dyDescent="0.25">
      <c r="A34" s="113"/>
      <c r="B34" s="30">
        <v>2</v>
      </c>
      <c r="C34" s="61" t="s">
        <v>148</v>
      </c>
      <c r="D34" s="32">
        <v>4</v>
      </c>
      <c r="E34" s="31">
        <v>3</v>
      </c>
      <c r="F34" s="31"/>
      <c r="G34" s="31"/>
      <c r="H34" s="31"/>
      <c r="I34" s="31"/>
      <c r="J34" s="33"/>
    </row>
    <row r="35" spans="1:10" ht="18" customHeight="1" x14ac:dyDescent="0.25">
      <c r="A35" s="113"/>
      <c r="B35" s="30">
        <v>3</v>
      </c>
      <c r="C35" s="61" t="s">
        <v>31</v>
      </c>
      <c r="D35" s="32">
        <v>4</v>
      </c>
      <c r="E35" s="31">
        <v>3</v>
      </c>
      <c r="F35" s="31"/>
      <c r="G35" s="31"/>
      <c r="H35" s="31"/>
      <c r="I35" s="31"/>
      <c r="J35" s="33"/>
    </row>
    <row r="36" spans="1:10" ht="18" customHeight="1" x14ac:dyDescent="0.25">
      <c r="A36" s="113"/>
      <c r="B36" s="30">
        <v>4</v>
      </c>
      <c r="C36" s="61" t="s">
        <v>35</v>
      </c>
      <c r="D36" s="32">
        <v>6</v>
      </c>
      <c r="E36" s="31">
        <v>5</v>
      </c>
      <c r="F36" s="31"/>
      <c r="G36" s="31"/>
      <c r="H36" s="31"/>
      <c r="I36" s="31"/>
      <c r="J36" s="33"/>
    </row>
    <row r="37" spans="1:10" ht="18" customHeight="1" x14ac:dyDescent="0.25">
      <c r="A37" s="113"/>
      <c r="B37" s="30">
        <v>5</v>
      </c>
      <c r="C37" s="61" t="s">
        <v>145</v>
      </c>
      <c r="D37" s="32">
        <v>4</v>
      </c>
      <c r="E37" s="31">
        <v>3</v>
      </c>
      <c r="F37" s="31"/>
      <c r="G37" s="31"/>
      <c r="H37" s="31"/>
      <c r="I37" s="31"/>
      <c r="J37" s="33"/>
    </row>
    <row r="38" spans="1:10" ht="18" customHeight="1" x14ac:dyDescent="0.25">
      <c r="A38" s="114"/>
      <c r="B38" s="44">
        <v>6</v>
      </c>
      <c r="C38" s="61" t="s">
        <v>45</v>
      </c>
      <c r="D38" s="32">
        <v>4</v>
      </c>
      <c r="E38" s="31">
        <v>3</v>
      </c>
      <c r="F38" s="31"/>
      <c r="G38" s="31"/>
      <c r="H38" s="40"/>
      <c r="I38" s="40"/>
      <c r="J38" s="33"/>
    </row>
    <row r="39" spans="1:10" ht="18" customHeight="1" thickBot="1" x14ac:dyDescent="0.3">
      <c r="A39" s="117"/>
      <c r="B39" s="34">
        <v>7</v>
      </c>
      <c r="C39" s="67" t="s">
        <v>91</v>
      </c>
      <c r="D39" s="45">
        <v>4</v>
      </c>
      <c r="E39" s="43">
        <v>3</v>
      </c>
      <c r="F39" s="43"/>
      <c r="G39" s="43"/>
      <c r="H39" s="35"/>
      <c r="I39" s="35">
        <f>SUM(E33+E34+E35+E36+E37+E38+E39)</f>
        <v>23</v>
      </c>
      <c r="J39" s="33"/>
    </row>
    <row r="40" spans="1:10" ht="18" customHeight="1" x14ac:dyDescent="0.25">
      <c r="A40" s="112" t="s">
        <v>8</v>
      </c>
      <c r="B40" s="37">
        <v>1</v>
      </c>
      <c r="C40" s="64" t="s">
        <v>23</v>
      </c>
      <c r="D40" s="39">
        <v>4</v>
      </c>
      <c r="E40" s="38">
        <v>3</v>
      </c>
      <c r="F40" s="38"/>
      <c r="G40" s="38"/>
      <c r="H40" s="38"/>
      <c r="I40" s="38"/>
      <c r="J40" s="33"/>
    </row>
    <row r="41" spans="1:10" ht="18" customHeight="1" x14ac:dyDescent="0.25">
      <c r="A41" s="113"/>
      <c r="B41" s="30">
        <v>2</v>
      </c>
      <c r="C41" s="61" t="s">
        <v>149</v>
      </c>
      <c r="D41" s="32">
        <v>4</v>
      </c>
      <c r="E41" s="31">
        <v>3</v>
      </c>
      <c r="F41" s="31"/>
      <c r="G41" s="31"/>
      <c r="H41" s="31"/>
      <c r="I41" s="31"/>
      <c r="J41" s="33"/>
    </row>
    <row r="42" spans="1:10" ht="18" customHeight="1" x14ac:dyDescent="0.25">
      <c r="A42" s="113"/>
      <c r="B42" s="30">
        <v>3</v>
      </c>
      <c r="C42" s="61" t="s">
        <v>36</v>
      </c>
      <c r="D42" s="32">
        <v>6</v>
      </c>
      <c r="E42" s="31">
        <v>5</v>
      </c>
      <c r="F42" s="31"/>
      <c r="G42" s="31"/>
      <c r="H42" s="31"/>
      <c r="I42" s="31"/>
      <c r="J42" s="33"/>
    </row>
    <row r="43" spans="1:10" ht="18" customHeight="1" x14ac:dyDescent="0.25">
      <c r="A43" s="113"/>
      <c r="B43" s="30">
        <v>4</v>
      </c>
      <c r="C43" s="61" t="s">
        <v>46</v>
      </c>
      <c r="D43" s="32">
        <v>4</v>
      </c>
      <c r="E43" s="31">
        <v>3</v>
      </c>
      <c r="F43" s="31"/>
      <c r="G43" s="31"/>
      <c r="H43" s="31"/>
      <c r="I43" s="31"/>
      <c r="J43" s="33"/>
    </row>
    <row r="44" spans="1:10" ht="18" customHeight="1" x14ac:dyDescent="0.25">
      <c r="A44" s="113"/>
      <c r="B44" s="30">
        <v>5</v>
      </c>
      <c r="C44" s="61" t="s">
        <v>47</v>
      </c>
      <c r="D44" s="32">
        <v>4</v>
      </c>
      <c r="E44" s="31">
        <v>3</v>
      </c>
      <c r="F44" s="31"/>
      <c r="G44" s="31"/>
      <c r="H44" s="31"/>
      <c r="I44" s="31"/>
      <c r="J44" s="33"/>
    </row>
    <row r="45" spans="1:10" ht="18" customHeight="1" x14ac:dyDescent="0.25">
      <c r="A45" s="114"/>
      <c r="B45" s="44">
        <v>6</v>
      </c>
      <c r="C45" s="61" t="s">
        <v>48</v>
      </c>
      <c r="D45" s="32">
        <v>4</v>
      </c>
      <c r="E45" s="31">
        <v>3</v>
      </c>
      <c r="F45" s="40"/>
      <c r="G45" s="40"/>
      <c r="H45" s="40"/>
      <c r="I45" s="40"/>
      <c r="J45" s="33"/>
    </row>
    <row r="46" spans="1:10" ht="18" customHeight="1" x14ac:dyDescent="0.25">
      <c r="A46" s="115"/>
      <c r="B46" s="44">
        <v>7</v>
      </c>
      <c r="C46" s="68" t="s">
        <v>92</v>
      </c>
      <c r="D46" s="46">
        <v>4</v>
      </c>
      <c r="E46" s="47">
        <v>3</v>
      </c>
      <c r="F46" s="40"/>
      <c r="G46" s="40"/>
      <c r="H46" s="40"/>
      <c r="I46" s="40">
        <f>SUM(E40+E41+E42+E43+E44+E45+E46)</f>
        <v>23</v>
      </c>
      <c r="J46" s="33"/>
    </row>
    <row r="47" spans="1:10" ht="18" customHeight="1" x14ac:dyDescent="0.25">
      <c r="A47" s="26"/>
      <c r="B47" s="48"/>
      <c r="C47" s="49"/>
      <c r="D47" s="50"/>
      <c r="E47" s="51"/>
      <c r="F47" s="51"/>
      <c r="G47" s="51"/>
      <c r="H47" s="51"/>
      <c r="I47" s="51"/>
      <c r="J47" s="52"/>
    </row>
    <row r="48" spans="1:10" ht="18" customHeight="1" x14ac:dyDescent="0.25">
      <c r="A48" s="20"/>
      <c r="B48" s="53"/>
      <c r="C48" s="54"/>
      <c r="D48" s="55"/>
      <c r="E48" s="56"/>
      <c r="F48" s="56"/>
      <c r="G48" s="56"/>
      <c r="H48" s="56"/>
      <c r="I48" s="56"/>
      <c r="J48" s="52"/>
    </row>
    <row r="49" spans="1:11" ht="18" customHeight="1" x14ac:dyDescent="0.25">
      <c r="A49" s="119" t="s">
        <v>0</v>
      </c>
      <c r="B49" s="119"/>
      <c r="C49" s="119"/>
      <c r="D49" s="119" t="s">
        <v>18</v>
      </c>
      <c r="E49" s="119" t="s">
        <v>1</v>
      </c>
      <c r="F49" s="119" t="s">
        <v>2</v>
      </c>
      <c r="G49" s="119" t="s">
        <v>3</v>
      </c>
      <c r="H49" s="119" t="s">
        <v>4</v>
      </c>
      <c r="I49" s="119" t="s">
        <v>5</v>
      </c>
      <c r="J49" s="52"/>
    </row>
    <row r="50" spans="1:11" ht="18" customHeight="1" x14ac:dyDescent="0.25">
      <c r="A50" s="120"/>
      <c r="B50" s="120"/>
      <c r="C50" s="120"/>
      <c r="D50" s="120"/>
      <c r="E50" s="120"/>
      <c r="F50" s="120"/>
      <c r="G50" s="120"/>
      <c r="H50" s="120"/>
      <c r="I50" s="120"/>
      <c r="J50" s="52"/>
    </row>
    <row r="51" spans="1:11" ht="19.899999999999999" customHeight="1" x14ac:dyDescent="0.25">
      <c r="A51" s="116" t="s">
        <v>9</v>
      </c>
      <c r="B51" s="57">
        <v>1</v>
      </c>
      <c r="C51" s="61" t="s">
        <v>24</v>
      </c>
      <c r="D51" s="32">
        <v>4</v>
      </c>
      <c r="E51" s="31">
        <v>3</v>
      </c>
      <c r="F51" s="31"/>
      <c r="G51" s="31"/>
      <c r="H51" s="31"/>
      <c r="I51" s="31"/>
      <c r="J51" s="33"/>
    </row>
    <row r="52" spans="1:11" ht="19.899999999999999" customHeight="1" x14ac:dyDescent="0.25">
      <c r="A52" s="113"/>
      <c r="B52" s="57">
        <v>2</v>
      </c>
      <c r="C52" s="61" t="s">
        <v>150</v>
      </c>
      <c r="D52" s="32">
        <v>4</v>
      </c>
      <c r="E52" s="31">
        <v>3</v>
      </c>
      <c r="F52" s="31"/>
      <c r="G52" s="31"/>
      <c r="H52" s="31"/>
      <c r="I52" s="31"/>
      <c r="J52" s="33"/>
    </row>
    <row r="53" spans="1:11" ht="19.899999999999999" customHeight="1" x14ac:dyDescent="0.25">
      <c r="A53" s="113"/>
      <c r="B53" s="57">
        <v>3</v>
      </c>
      <c r="C53" s="61" t="s">
        <v>37</v>
      </c>
      <c r="D53" s="32">
        <v>6</v>
      </c>
      <c r="E53" s="31">
        <v>5</v>
      </c>
      <c r="F53" s="31"/>
      <c r="G53" s="31"/>
      <c r="H53" s="31"/>
      <c r="I53" s="31"/>
      <c r="J53" s="33"/>
    </row>
    <row r="54" spans="1:11" ht="19.899999999999999" customHeight="1" x14ac:dyDescent="0.25">
      <c r="A54" s="113"/>
      <c r="B54" s="57">
        <v>4</v>
      </c>
      <c r="C54" s="61" t="s">
        <v>49</v>
      </c>
      <c r="D54" s="32">
        <v>4</v>
      </c>
      <c r="E54" s="31">
        <v>3</v>
      </c>
      <c r="F54" s="31"/>
      <c r="G54" s="31"/>
      <c r="H54" s="31"/>
      <c r="I54" s="31"/>
      <c r="J54" s="33"/>
    </row>
    <row r="55" spans="1:11" ht="19.899999999999999" customHeight="1" x14ac:dyDescent="0.25">
      <c r="A55" s="113"/>
      <c r="B55" s="57">
        <v>5</v>
      </c>
      <c r="C55" s="61" t="s">
        <v>50</v>
      </c>
      <c r="D55" s="32">
        <v>4</v>
      </c>
      <c r="E55" s="31">
        <v>3</v>
      </c>
      <c r="F55" s="31"/>
      <c r="G55" s="31"/>
      <c r="H55" s="31"/>
      <c r="I55" s="31"/>
      <c r="J55" s="33"/>
    </row>
    <row r="56" spans="1:11" ht="19.899999999999999" customHeight="1" x14ac:dyDescent="0.25">
      <c r="A56" s="114"/>
      <c r="B56" s="58">
        <v>6</v>
      </c>
      <c r="C56" s="61" t="s">
        <v>51</v>
      </c>
      <c r="D56" s="32">
        <v>4</v>
      </c>
      <c r="E56" s="31">
        <v>3</v>
      </c>
      <c r="F56" s="40"/>
      <c r="G56" s="40"/>
      <c r="H56" s="40"/>
      <c r="I56" s="40"/>
      <c r="J56" s="33"/>
    </row>
    <row r="57" spans="1:11" ht="19.899999999999999" customHeight="1" thickBot="1" x14ac:dyDescent="0.3">
      <c r="A57" s="117"/>
      <c r="B57" s="59">
        <v>7</v>
      </c>
      <c r="C57" s="67" t="s">
        <v>93</v>
      </c>
      <c r="D57" s="45">
        <v>4</v>
      </c>
      <c r="E57" s="43">
        <v>3</v>
      </c>
      <c r="F57" s="35"/>
      <c r="G57" s="35"/>
      <c r="H57" s="35"/>
      <c r="I57" s="35">
        <f>SUM(E51+E52+E53+E54+E55+E56+E57)</f>
        <v>23</v>
      </c>
      <c r="J57" s="33"/>
    </row>
    <row r="58" spans="1:11" ht="19.899999999999999" customHeight="1" x14ac:dyDescent="0.25">
      <c r="A58" s="118" t="s">
        <v>62</v>
      </c>
      <c r="B58" s="60">
        <v>1</v>
      </c>
      <c r="C58" s="64" t="s">
        <v>25</v>
      </c>
      <c r="D58" s="39">
        <v>4</v>
      </c>
      <c r="E58" s="38">
        <v>3</v>
      </c>
      <c r="F58" s="38"/>
      <c r="G58" s="38"/>
      <c r="H58" s="38"/>
      <c r="I58" s="38"/>
      <c r="J58" s="33"/>
    </row>
    <row r="59" spans="1:11" ht="19.899999999999999" customHeight="1" x14ac:dyDescent="0.25">
      <c r="A59" s="113"/>
      <c r="B59" s="57">
        <v>2</v>
      </c>
      <c r="C59" s="61" t="s">
        <v>38</v>
      </c>
      <c r="D59" s="32">
        <v>10</v>
      </c>
      <c r="E59" s="31">
        <v>7</v>
      </c>
      <c r="F59" s="31"/>
      <c r="G59" s="31"/>
      <c r="H59" s="31"/>
      <c r="I59" s="31"/>
      <c r="J59" s="33"/>
    </row>
    <row r="60" spans="1:11" ht="19.899999999999999" customHeight="1" x14ac:dyDescent="0.25">
      <c r="A60" s="113"/>
      <c r="B60" s="57">
        <v>3</v>
      </c>
      <c r="C60" s="61" t="s">
        <v>52</v>
      </c>
      <c r="D60" s="32">
        <v>4</v>
      </c>
      <c r="E60" s="31">
        <v>3</v>
      </c>
      <c r="F60" s="31"/>
      <c r="G60" s="31"/>
      <c r="H60" s="31"/>
      <c r="I60" s="31"/>
      <c r="J60" s="33"/>
    </row>
    <row r="61" spans="1:11" ht="19.899999999999999" customHeight="1" x14ac:dyDescent="0.25">
      <c r="A61" s="113"/>
      <c r="B61" s="57">
        <v>4</v>
      </c>
      <c r="C61" s="61" t="s">
        <v>53</v>
      </c>
      <c r="D61" s="32">
        <v>4</v>
      </c>
      <c r="E61" s="31">
        <v>3</v>
      </c>
      <c r="F61" s="31"/>
      <c r="G61" s="31"/>
      <c r="H61" s="31"/>
      <c r="I61" s="31"/>
      <c r="J61" s="33"/>
    </row>
    <row r="62" spans="1:11" ht="19.899999999999999" customHeight="1" x14ac:dyDescent="0.25">
      <c r="A62" s="114"/>
      <c r="B62" s="58">
        <v>5</v>
      </c>
      <c r="C62" s="61" t="s">
        <v>54</v>
      </c>
      <c r="D62" s="32">
        <v>4</v>
      </c>
      <c r="E62" s="31">
        <v>3</v>
      </c>
      <c r="F62" s="40"/>
      <c r="G62" s="40"/>
      <c r="H62" s="40"/>
      <c r="I62" s="40"/>
      <c r="J62" s="33"/>
    </row>
    <row r="63" spans="1:11" ht="19.899999999999999" customHeight="1" thickBot="1" x14ac:dyDescent="0.3">
      <c r="A63" s="117"/>
      <c r="B63" s="59">
        <v>6</v>
      </c>
      <c r="C63" s="67" t="s">
        <v>94</v>
      </c>
      <c r="D63" s="45">
        <v>4</v>
      </c>
      <c r="E63" s="43">
        <v>3</v>
      </c>
      <c r="F63" s="35"/>
      <c r="G63" s="35"/>
      <c r="H63" s="35"/>
      <c r="I63" s="35">
        <f>SUM(E58+E59+E60+E61+E62+E63)</f>
        <v>22</v>
      </c>
      <c r="J63" s="33"/>
    </row>
    <row r="64" spans="1:11" ht="19.899999999999999" customHeight="1" x14ac:dyDescent="0.25">
      <c r="A64" s="112" t="s">
        <v>63</v>
      </c>
      <c r="B64" s="60">
        <v>1</v>
      </c>
      <c r="C64" s="64" t="s">
        <v>39</v>
      </c>
      <c r="D64" s="39">
        <v>12</v>
      </c>
      <c r="E64" s="38">
        <v>8</v>
      </c>
      <c r="F64" s="38"/>
      <c r="G64" s="38"/>
      <c r="H64" s="38"/>
      <c r="I64" s="38"/>
      <c r="J64" s="33"/>
      <c r="K64" s="10"/>
    </row>
    <row r="65" spans="1:10" ht="19.899999999999999" customHeight="1" x14ac:dyDescent="0.25">
      <c r="A65" s="113"/>
      <c r="B65" s="57">
        <v>2</v>
      </c>
      <c r="C65" s="61" t="s">
        <v>151</v>
      </c>
      <c r="D65" s="32">
        <v>6</v>
      </c>
      <c r="E65" s="31">
        <v>5</v>
      </c>
      <c r="F65" s="31"/>
      <c r="G65" s="31"/>
      <c r="H65" s="31"/>
      <c r="I65" s="31"/>
      <c r="J65" s="33"/>
    </row>
    <row r="66" spans="1:10" ht="19.899999999999999" customHeight="1" x14ac:dyDescent="0.25">
      <c r="A66" s="113"/>
      <c r="B66" s="57">
        <v>3</v>
      </c>
      <c r="C66" s="61" t="s">
        <v>55</v>
      </c>
      <c r="D66" s="32">
        <v>4</v>
      </c>
      <c r="E66" s="31">
        <v>3</v>
      </c>
      <c r="F66" s="31"/>
      <c r="G66" s="31"/>
      <c r="H66" s="31"/>
      <c r="I66" s="31"/>
      <c r="J66" s="33"/>
    </row>
    <row r="67" spans="1:10" ht="19.899999999999999" customHeight="1" x14ac:dyDescent="0.25">
      <c r="A67" s="114"/>
      <c r="B67" s="58">
        <v>4</v>
      </c>
      <c r="C67" s="61" t="s">
        <v>56</v>
      </c>
      <c r="D67" s="32">
        <v>4</v>
      </c>
      <c r="E67" s="31">
        <v>3</v>
      </c>
      <c r="F67" s="40"/>
      <c r="G67" s="40"/>
      <c r="H67" s="40"/>
      <c r="I67" s="40"/>
      <c r="J67" s="33"/>
    </row>
    <row r="68" spans="1:10" ht="19.899999999999999" customHeight="1" thickBot="1" x14ac:dyDescent="0.3">
      <c r="A68" s="114"/>
      <c r="B68" s="59">
        <v>5</v>
      </c>
      <c r="C68" s="67" t="s">
        <v>95</v>
      </c>
      <c r="D68" s="36">
        <v>4</v>
      </c>
      <c r="E68" s="35">
        <v>3</v>
      </c>
      <c r="F68" s="35"/>
      <c r="G68" s="35"/>
      <c r="H68" s="35"/>
      <c r="I68" s="35">
        <f>E64+E65+E66+E67+E68</f>
        <v>22</v>
      </c>
      <c r="J68" s="33"/>
    </row>
    <row r="69" spans="1:10" ht="19.899999999999999" customHeight="1" x14ac:dyDescent="0.25">
      <c r="A69" s="110" t="s">
        <v>12</v>
      </c>
      <c r="B69" s="60">
        <v>1</v>
      </c>
      <c r="C69" s="64" t="s">
        <v>40</v>
      </c>
      <c r="D69" s="39">
        <v>28</v>
      </c>
      <c r="E69" s="38">
        <v>16</v>
      </c>
      <c r="F69" s="38"/>
      <c r="G69" s="38"/>
      <c r="H69" s="38"/>
      <c r="I69" s="38"/>
      <c r="J69" s="33"/>
    </row>
    <row r="70" spans="1:10" ht="19.899999999999999" customHeight="1" thickBot="1" x14ac:dyDescent="0.3">
      <c r="A70" s="111"/>
      <c r="B70" s="59">
        <v>2</v>
      </c>
      <c r="C70" s="63" t="s">
        <v>57</v>
      </c>
      <c r="D70" s="36">
        <v>2</v>
      </c>
      <c r="E70" s="35">
        <v>2</v>
      </c>
      <c r="F70" s="35"/>
      <c r="G70" s="35"/>
      <c r="H70" s="35"/>
      <c r="I70" s="35">
        <f>SUM(E69+E70)</f>
        <v>18</v>
      </c>
      <c r="J70" s="33"/>
    </row>
    <row r="71" spans="1:10" ht="19.899999999999999" customHeight="1" x14ac:dyDescent="0.25">
      <c r="A71" s="123" t="s">
        <v>13</v>
      </c>
      <c r="B71" s="60">
        <v>1</v>
      </c>
      <c r="C71" s="64" t="s">
        <v>41</v>
      </c>
      <c r="D71" s="39">
        <v>28</v>
      </c>
      <c r="E71" s="38">
        <v>16</v>
      </c>
      <c r="F71" s="38"/>
      <c r="G71" s="38"/>
      <c r="H71" s="38"/>
      <c r="I71" s="38"/>
      <c r="J71" s="33"/>
    </row>
    <row r="72" spans="1:10" ht="19.899999999999999" customHeight="1" x14ac:dyDescent="0.25">
      <c r="A72" s="124"/>
      <c r="B72" s="58">
        <v>2</v>
      </c>
      <c r="C72" s="65" t="s">
        <v>58</v>
      </c>
      <c r="D72" s="70">
        <v>2</v>
      </c>
      <c r="E72" s="40">
        <v>2</v>
      </c>
      <c r="F72" s="40"/>
      <c r="G72" s="40"/>
      <c r="H72" s="40"/>
      <c r="I72" s="40">
        <f>SUM(E71+E72)</f>
        <v>18</v>
      </c>
      <c r="J72" s="33"/>
    </row>
    <row r="73" spans="1:10" ht="12.95" customHeight="1" x14ac:dyDescent="0.25">
      <c r="A73" s="71"/>
      <c r="B73" s="71"/>
      <c r="C73" s="71"/>
      <c r="D73" s="71"/>
      <c r="E73" s="71"/>
      <c r="F73" s="71"/>
      <c r="G73" s="71"/>
      <c r="H73" s="71"/>
      <c r="I73" s="71"/>
      <c r="J73" s="4"/>
    </row>
    <row r="74" spans="1:10" x14ac:dyDescent="0.25">
      <c r="A74" s="5"/>
      <c r="B74" s="5"/>
      <c r="C74" s="5"/>
      <c r="D74" s="5"/>
      <c r="E74" s="5"/>
      <c r="F74" s="5"/>
      <c r="G74" s="5"/>
      <c r="H74" s="5"/>
      <c r="I74" s="5"/>
      <c r="J74" s="4"/>
    </row>
    <row r="75" spans="1:10" x14ac:dyDescent="0.25">
      <c r="A75" s="125" t="s">
        <v>118</v>
      </c>
      <c r="B75" s="125"/>
      <c r="C75" s="125"/>
      <c r="D75" s="125"/>
      <c r="E75" s="125"/>
      <c r="F75" s="125"/>
      <c r="G75" s="125"/>
      <c r="H75" s="125"/>
      <c r="I75" s="125"/>
      <c r="J75" s="4"/>
    </row>
    <row r="76" spans="1:10" ht="32.450000000000003" customHeight="1" x14ac:dyDescent="0.25">
      <c r="A76" s="5"/>
      <c r="B76" s="5"/>
      <c r="C76" s="5"/>
      <c r="D76" s="126" t="s">
        <v>16</v>
      </c>
      <c r="E76" s="126"/>
      <c r="F76" s="126"/>
      <c r="G76" s="126"/>
      <c r="H76" s="126"/>
      <c r="I76" s="126"/>
      <c r="J76" s="4"/>
    </row>
    <row r="77" spans="1:10" ht="27" customHeight="1" x14ac:dyDescent="0.25">
      <c r="A77" s="8"/>
      <c r="B77" s="8"/>
      <c r="C77" s="8"/>
      <c r="D77" s="5"/>
      <c r="E77" s="5"/>
      <c r="F77" s="5"/>
      <c r="G77" s="5"/>
      <c r="H77" s="5"/>
      <c r="I77" s="5"/>
      <c r="J77" s="4"/>
    </row>
    <row r="78" spans="1:10" x14ac:dyDescent="0.25">
      <c r="A78" s="122" t="s">
        <v>119</v>
      </c>
      <c r="B78" s="122"/>
      <c r="C78" s="122"/>
      <c r="D78" s="5"/>
      <c r="E78" s="5"/>
      <c r="F78" s="5"/>
      <c r="G78" s="5"/>
      <c r="H78" s="5"/>
      <c r="I78" s="5"/>
      <c r="J78" s="4"/>
    </row>
    <row r="79" spans="1:10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</row>
    <row r="100" spans="6:6" x14ac:dyDescent="0.25">
      <c r="F100" t="s">
        <v>17</v>
      </c>
    </row>
  </sheetData>
  <mergeCells count="20">
    <mergeCell ref="A14:A19"/>
    <mergeCell ref="A20:A25"/>
    <mergeCell ref="A26:A32"/>
    <mergeCell ref="A33:A39"/>
    <mergeCell ref="A78:C78"/>
    <mergeCell ref="A49:C50"/>
    <mergeCell ref="A71:A72"/>
    <mergeCell ref="A75:I75"/>
    <mergeCell ref="D76:I76"/>
    <mergeCell ref="I49:I50"/>
    <mergeCell ref="A69:A70"/>
    <mergeCell ref="A40:A46"/>
    <mergeCell ref="A51:A57"/>
    <mergeCell ref="A58:A63"/>
    <mergeCell ref="A64:A68"/>
    <mergeCell ref="H49:H50"/>
    <mergeCell ref="D49:D50"/>
    <mergeCell ref="E49:E50"/>
    <mergeCell ref="F49:F50"/>
    <mergeCell ref="G49:G50"/>
  </mergeCells>
  <pageMargins left="0.46" right="0.12" top="0.35" bottom="0.2" header="0.31496062992125984" footer="0.31496062992125984"/>
  <pageSetup paperSize="9" scale="91" orientation="portrait" horizontalDpi="4294967294" verticalDpi="300" r:id="rId1"/>
  <rowBreaks count="2" manualBreakCount="2">
    <brk id="47" max="8" man="1"/>
    <brk id="87" max="16383" man="1"/>
  </rowBreaks>
  <colBreaks count="1" manualBreakCount="1">
    <brk id="9" max="81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C7AA-691E-4F0D-8E6B-5CAE93DB77F1}">
  <dimension ref="A1:K100"/>
  <sheetViews>
    <sheetView topLeftCell="A16" zoomScaleNormal="100" zoomScaleSheetLayoutView="70" workbookViewId="0">
      <selection activeCell="C26" sqref="C26:C32"/>
    </sheetView>
  </sheetViews>
  <sheetFormatPr baseColWidth="10" defaultRowHeight="15" x14ac:dyDescent="0.25"/>
  <cols>
    <col min="1" max="2" width="3.42578125" customWidth="1"/>
    <col min="3" max="3" width="49.28515625" customWidth="1"/>
    <col min="4" max="4" width="6.140625" customWidth="1"/>
    <col min="5" max="5" width="5.42578125" customWidth="1"/>
    <col min="6" max="6" width="7" customWidth="1"/>
    <col min="7" max="7" width="6.85546875" customWidth="1"/>
    <col min="8" max="8" width="14.85546875" customWidth="1"/>
    <col min="9" max="9" width="7" customWidth="1"/>
  </cols>
  <sheetData>
    <row r="1" spans="1:10" x14ac:dyDescent="0.25">
      <c r="A1" s="4"/>
      <c r="B1" s="4"/>
      <c r="C1" s="4"/>
      <c r="D1" s="4"/>
      <c r="E1" s="4"/>
      <c r="F1" s="4"/>
      <c r="G1" s="4"/>
      <c r="H1" s="4"/>
      <c r="I1" s="4"/>
      <c r="J1" s="4"/>
    </row>
    <row r="2" spans="1:10" x14ac:dyDescent="0.2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x14ac:dyDescent="0.25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18" customHeight="1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 ht="9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ht="22.15" customHeight="1" x14ac:dyDescent="0.25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ht="22.15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ht="26.45" customHeight="1" x14ac:dyDescent="0.25">
      <c r="A13" s="19" t="s">
        <v>116</v>
      </c>
      <c r="B13" s="19" t="s">
        <v>117</v>
      </c>
      <c r="C13" s="19" t="s">
        <v>0</v>
      </c>
      <c r="D13" s="19" t="s">
        <v>18</v>
      </c>
      <c r="E13" s="19" t="s">
        <v>1</v>
      </c>
      <c r="F13" s="19" t="s">
        <v>2</v>
      </c>
      <c r="G13" s="19" t="s">
        <v>3</v>
      </c>
      <c r="H13" s="19" t="s">
        <v>4</v>
      </c>
      <c r="I13" s="101" t="s">
        <v>5</v>
      </c>
      <c r="J13" s="4"/>
    </row>
    <row r="14" spans="1:10" ht="19.149999999999999" customHeight="1" x14ac:dyDescent="0.25">
      <c r="A14" s="127" t="s">
        <v>6</v>
      </c>
      <c r="B14" s="30">
        <v>1</v>
      </c>
      <c r="C14" s="61" t="s">
        <v>65</v>
      </c>
      <c r="D14" s="102">
        <v>4</v>
      </c>
      <c r="E14" s="31">
        <v>3</v>
      </c>
      <c r="F14" s="72"/>
      <c r="G14" s="72"/>
      <c r="H14" s="72"/>
      <c r="I14" s="72"/>
      <c r="J14" s="4"/>
    </row>
    <row r="15" spans="1:10" ht="19.149999999999999" customHeight="1" x14ac:dyDescent="0.25">
      <c r="A15" s="128"/>
      <c r="B15" s="30">
        <v>2</v>
      </c>
      <c r="C15" s="61" t="s">
        <v>98</v>
      </c>
      <c r="D15" s="102">
        <v>4</v>
      </c>
      <c r="E15" s="31">
        <v>3</v>
      </c>
      <c r="F15" s="72"/>
      <c r="G15" s="72"/>
      <c r="H15" s="72"/>
      <c r="I15" s="72"/>
      <c r="J15" s="4"/>
    </row>
    <row r="16" spans="1:10" ht="19.149999999999999" customHeight="1" x14ac:dyDescent="0.25">
      <c r="A16" s="128"/>
      <c r="B16" s="30">
        <v>3</v>
      </c>
      <c r="C16" s="61" t="s">
        <v>28</v>
      </c>
      <c r="D16" s="102">
        <v>4</v>
      </c>
      <c r="E16" s="31">
        <v>3</v>
      </c>
      <c r="F16" s="72"/>
      <c r="G16" s="72"/>
      <c r="H16" s="72"/>
      <c r="I16" s="72"/>
      <c r="J16" s="4"/>
    </row>
    <row r="17" spans="1:10" ht="19.149999999999999" customHeight="1" x14ac:dyDescent="0.25">
      <c r="A17" s="128"/>
      <c r="B17" s="30">
        <v>4</v>
      </c>
      <c r="C17" s="61" t="s">
        <v>96</v>
      </c>
      <c r="D17" s="102">
        <v>6</v>
      </c>
      <c r="E17" s="31">
        <v>5</v>
      </c>
      <c r="F17" s="72"/>
      <c r="G17" s="72"/>
      <c r="H17" s="72"/>
      <c r="I17" s="72"/>
      <c r="J17" s="4"/>
    </row>
    <row r="18" spans="1:10" ht="19.149999999999999" customHeight="1" x14ac:dyDescent="0.25">
      <c r="A18" s="128"/>
      <c r="B18" s="30">
        <v>5</v>
      </c>
      <c r="C18" s="61" t="s">
        <v>101</v>
      </c>
      <c r="D18" s="102">
        <v>6</v>
      </c>
      <c r="E18" s="31">
        <v>5</v>
      </c>
      <c r="F18" s="72"/>
      <c r="G18" s="72"/>
      <c r="H18" s="72"/>
      <c r="I18" s="72"/>
      <c r="J18" s="4"/>
    </row>
    <row r="19" spans="1:10" ht="19.149999999999999" customHeight="1" thickBot="1" x14ac:dyDescent="0.3">
      <c r="A19" s="129"/>
      <c r="B19" s="34">
        <v>6</v>
      </c>
      <c r="C19" s="63" t="s">
        <v>103</v>
      </c>
      <c r="D19" s="103">
        <v>6</v>
      </c>
      <c r="E19" s="35">
        <v>5</v>
      </c>
      <c r="F19" s="75"/>
      <c r="G19" s="75"/>
      <c r="H19" s="75"/>
      <c r="I19" s="75">
        <f>SUM(E14+E15+E16+E17+E18+E19)</f>
        <v>24</v>
      </c>
      <c r="J19" s="4"/>
    </row>
    <row r="20" spans="1:10" ht="19.149999999999999" customHeight="1" x14ac:dyDescent="0.25">
      <c r="A20" s="130" t="s">
        <v>7</v>
      </c>
      <c r="B20" s="37">
        <v>1</v>
      </c>
      <c r="C20" s="64" t="s">
        <v>27</v>
      </c>
      <c r="D20" s="104">
        <v>4</v>
      </c>
      <c r="E20" s="38">
        <v>3</v>
      </c>
      <c r="F20" s="76"/>
      <c r="G20" s="76"/>
      <c r="H20" s="76"/>
      <c r="I20" s="76"/>
      <c r="J20" s="4"/>
    </row>
    <row r="21" spans="1:10" ht="19.149999999999999" customHeight="1" x14ac:dyDescent="0.25">
      <c r="A21" s="128"/>
      <c r="B21" s="30">
        <v>2</v>
      </c>
      <c r="C21" s="61" t="s">
        <v>20</v>
      </c>
      <c r="D21" s="102">
        <v>4</v>
      </c>
      <c r="E21" s="31">
        <v>3</v>
      </c>
      <c r="F21" s="72"/>
      <c r="G21" s="72"/>
      <c r="H21" s="72"/>
      <c r="I21" s="72"/>
      <c r="J21" s="4"/>
    </row>
    <row r="22" spans="1:10" ht="19.149999999999999" customHeight="1" x14ac:dyDescent="0.25">
      <c r="A22" s="128"/>
      <c r="B22" s="30">
        <v>3</v>
      </c>
      <c r="C22" s="61" t="s">
        <v>30</v>
      </c>
      <c r="D22" s="102">
        <v>4</v>
      </c>
      <c r="E22" s="31">
        <v>3</v>
      </c>
      <c r="F22" s="72"/>
      <c r="G22" s="72"/>
      <c r="H22" s="72"/>
      <c r="I22" s="72"/>
      <c r="J22" s="4"/>
    </row>
    <row r="23" spans="1:10" ht="19.149999999999999" customHeight="1" x14ac:dyDescent="0.25">
      <c r="A23" s="128"/>
      <c r="B23" s="30">
        <v>4</v>
      </c>
      <c r="C23" s="65" t="s">
        <v>33</v>
      </c>
      <c r="D23" s="102">
        <v>6</v>
      </c>
      <c r="E23" s="31">
        <v>5</v>
      </c>
      <c r="F23" s="72"/>
      <c r="G23" s="72"/>
      <c r="H23" s="72"/>
      <c r="I23" s="72"/>
      <c r="J23" s="4"/>
    </row>
    <row r="24" spans="1:10" ht="19.149999999999999" customHeight="1" x14ac:dyDescent="0.25">
      <c r="A24" s="128"/>
      <c r="B24" s="41">
        <v>5</v>
      </c>
      <c r="C24" s="61" t="s">
        <v>102</v>
      </c>
      <c r="D24" s="105">
        <v>6</v>
      </c>
      <c r="E24" s="31">
        <v>5</v>
      </c>
      <c r="F24" s="72"/>
      <c r="G24" s="72"/>
      <c r="H24" s="72"/>
      <c r="I24" s="72"/>
      <c r="J24" s="4"/>
    </row>
    <row r="25" spans="1:10" ht="19.149999999999999" customHeight="1" thickBot="1" x14ac:dyDescent="0.3">
      <c r="A25" s="128"/>
      <c r="B25" s="34">
        <v>6</v>
      </c>
      <c r="C25" s="66" t="s">
        <v>146</v>
      </c>
      <c r="D25" s="103">
        <v>6</v>
      </c>
      <c r="E25" s="35">
        <v>5</v>
      </c>
      <c r="F25" s="75"/>
      <c r="G25" s="75"/>
      <c r="H25" s="75"/>
      <c r="I25" s="75">
        <f>SUM(E20+E21+E22+E23+E24+E25)</f>
        <v>24</v>
      </c>
      <c r="J25" s="4"/>
    </row>
    <row r="26" spans="1:10" ht="19.149999999999999" customHeight="1" x14ac:dyDescent="0.25">
      <c r="A26" s="131" t="s">
        <v>15</v>
      </c>
      <c r="B26" s="37">
        <v>1</v>
      </c>
      <c r="C26" s="61" t="s">
        <v>21</v>
      </c>
      <c r="D26" s="102">
        <v>4</v>
      </c>
      <c r="E26" s="31">
        <v>3</v>
      </c>
      <c r="F26" s="76"/>
      <c r="G26" s="76"/>
      <c r="H26" s="76"/>
      <c r="I26" s="76"/>
      <c r="J26" s="4"/>
    </row>
    <row r="27" spans="1:10" ht="19.149999999999999" customHeight="1" x14ac:dyDescent="0.25">
      <c r="A27" s="128"/>
      <c r="B27" s="30">
        <v>2</v>
      </c>
      <c r="C27" s="64" t="s">
        <v>158</v>
      </c>
      <c r="D27" s="102">
        <v>4</v>
      </c>
      <c r="E27" s="31">
        <v>3</v>
      </c>
      <c r="F27" s="72"/>
      <c r="G27" s="72"/>
      <c r="H27" s="72"/>
      <c r="I27" s="72"/>
      <c r="J27" s="4"/>
    </row>
    <row r="28" spans="1:10" ht="19.149999999999999" customHeight="1" x14ac:dyDescent="0.25">
      <c r="A28" s="128"/>
      <c r="B28" s="30">
        <v>3</v>
      </c>
      <c r="C28" s="64" t="s">
        <v>29</v>
      </c>
      <c r="D28" s="104">
        <v>4</v>
      </c>
      <c r="E28" s="38">
        <v>3</v>
      </c>
      <c r="F28" s="72"/>
      <c r="G28" s="72"/>
      <c r="H28" s="72"/>
      <c r="I28" s="72"/>
      <c r="J28" s="4"/>
    </row>
    <row r="29" spans="1:10" ht="19.149999999999999" customHeight="1" x14ac:dyDescent="0.25">
      <c r="A29" s="128"/>
      <c r="B29" s="30">
        <v>4</v>
      </c>
      <c r="C29" s="61" t="s">
        <v>34</v>
      </c>
      <c r="D29" s="102">
        <v>6</v>
      </c>
      <c r="E29" s="31">
        <v>5</v>
      </c>
      <c r="F29" s="72"/>
      <c r="G29" s="72"/>
      <c r="H29" s="72"/>
      <c r="I29" s="72"/>
      <c r="J29" s="4"/>
    </row>
    <row r="30" spans="1:10" ht="19.149999999999999" customHeight="1" x14ac:dyDescent="0.25">
      <c r="A30" s="128"/>
      <c r="B30" s="30">
        <v>5</v>
      </c>
      <c r="C30" s="61" t="s">
        <v>104</v>
      </c>
      <c r="D30" s="102">
        <v>4</v>
      </c>
      <c r="E30" s="31">
        <v>3</v>
      </c>
      <c r="F30" s="72"/>
      <c r="G30" s="72"/>
      <c r="H30" s="72"/>
      <c r="I30" s="72"/>
      <c r="J30" s="4"/>
    </row>
    <row r="31" spans="1:10" ht="19.149999999999999" customHeight="1" x14ac:dyDescent="0.25">
      <c r="A31" s="132"/>
      <c r="B31" s="44">
        <v>6</v>
      </c>
      <c r="C31" s="61" t="s">
        <v>152</v>
      </c>
      <c r="D31" s="102">
        <v>4</v>
      </c>
      <c r="E31" s="31">
        <v>3</v>
      </c>
      <c r="F31" s="72"/>
      <c r="G31" s="73"/>
      <c r="H31" s="73"/>
      <c r="I31" s="73"/>
      <c r="J31" s="4"/>
    </row>
    <row r="32" spans="1:10" ht="19.149999999999999" customHeight="1" thickBot="1" x14ac:dyDescent="0.3">
      <c r="A32" s="129"/>
      <c r="B32" s="34">
        <v>7</v>
      </c>
      <c r="C32" s="67" t="s">
        <v>90</v>
      </c>
      <c r="D32" s="106">
        <v>4</v>
      </c>
      <c r="E32" s="43">
        <v>3</v>
      </c>
      <c r="F32" s="74"/>
      <c r="G32" s="75"/>
      <c r="H32" s="75"/>
      <c r="I32" s="75">
        <f>SUM(E28+E26+E27+E29+E30+E31+E32)</f>
        <v>23</v>
      </c>
      <c r="J32" s="4"/>
    </row>
    <row r="33" spans="1:10" ht="19.149999999999999" customHeight="1" x14ac:dyDescent="0.25">
      <c r="A33" s="130" t="s">
        <v>14</v>
      </c>
      <c r="B33" s="37">
        <v>1</v>
      </c>
      <c r="C33" s="64" t="s">
        <v>157</v>
      </c>
      <c r="D33" s="104">
        <v>4</v>
      </c>
      <c r="E33" s="38">
        <v>3</v>
      </c>
      <c r="F33" s="76"/>
      <c r="G33" s="76"/>
      <c r="H33" s="76"/>
      <c r="I33" s="76"/>
      <c r="J33" s="4"/>
    </row>
    <row r="34" spans="1:10" ht="19.149999999999999" customHeight="1" x14ac:dyDescent="0.25">
      <c r="A34" s="128"/>
      <c r="B34" s="30">
        <v>2</v>
      </c>
      <c r="C34" s="61" t="s">
        <v>22</v>
      </c>
      <c r="D34" s="102">
        <v>4</v>
      </c>
      <c r="E34" s="31">
        <v>3</v>
      </c>
      <c r="F34" s="72"/>
      <c r="G34" s="72"/>
      <c r="H34" s="72"/>
      <c r="I34" s="72"/>
      <c r="J34" s="4"/>
    </row>
    <row r="35" spans="1:10" ht="19.149999999999999" customHeight="1" x14ac:dyDescent="0.25">
      <c r="A35" s="128"/>
      <c r="B35" s="30">
        <v>3</v>
      </c>
      <c r="C35" s="61" t="s">
        <v>31</v>
      </c>
      <c r="D35" s="102">
        <v>4</v>
      </c>
      <c r="E35" s="31">
        <v>3</v>
      </c>
      <c r="F35" s="72"/>
      <c r="G35" s="72"/>
      <c r="H35" s="72"/>
      <c r="I35" s="72"/>
      <c r="J35" s="4"/>
    </row>
    <row r="36" spans="1:10" ht="19.149999999999999" customHeight="1" x14ac:dyDescent="0.25">
      <c r="A36" s="128"/>
      <c r="B36" s="30">
        <v>4</v>
      </c>
      <c r="C36" s="61" t="s">
        <v>35</v>
      </c>
      <c r="D36" s="102">
        <v>6</v>
      </c>
      <c r="E36" s="31">
        <v>5</v>
      </c>
      <c r="F36" s="72"/>
      <c r="G36" s="72"/>
      <c r="H36" s="72"/>
      <c r="I36" s="72"/>
      <c r="J36" s="4"/>
    </row>
    <row r="37" spans="1:10" ht="19.149999999999999" customHeight="1" x14ac:dyDescent="0.25">
      <c r="A37" s="128"/>
      <c r="B37" s="30">
        <v>5</v>
      </c>
      <c r="C37" s="61" t="s">
        <v>153</v>
      </c>
      <c r="D37" s="102">
        <v>4</v>
      </c>
      <c r="E37" s="31">
        <v>3</v>
      </c>
      <c r="F37" s="72"/>
      <c r="G37" s="72"/>
      <c r="H37" s="72"/>
      <c r="I37" s="72"/>
      <c r="J37" s="4"/>
    </row>
    <row r="38" spans="1:10" ht="19.149999999999999" customHeight="1" x14ac:dyDescent="0.25">
      <c r="A38" s="132"/>
      <c r="B38" s="44">
        <v>6</v>
      </c>
      <c r="C38" s="61" t="s">
        <v>107</v>
      </c>
      <c r="D38" s="102">
        <v>4</v>
      </c>
      <c r="E38" s="31">
        <v>3</v>
      </c>
      <c r="F38" s="72"/>
      <c r="G38" s="72"/>
      <c r="H38" s="73"/>
      <c r="I38" s="73"/>
      <c r="J38" s="4"/>
    </row>
    <row r="39" spans="1:10" ht="19.149999999999999" customHeight="1" thickBot="1" x14ac:dyDescent="0.3">
      <c r="A39" s="129"/>
      <c r="B39" s="34">
        <v>7</v>
      </c>
      <c r="C39" s="67" t="s">
        <v>91</v>
      </c>
      <c r="D39" s="106">
        <v>4</v>
      </c>
      <c r="E39" s="43">
        <v>3</v>
      </c>
      <c r="F39" s="74"/>
      <c r="G39" s="74"/>
      <c r="H39" s="75"/>
      <c r="I39" s="75">
        <f>SUM(E33+E34+E35+E36+E37+E38+E39)</f>
        <v>23</v>
      </c>
      <c r="J39" s="4"/>
    </row>
    <row r="40" spans="1:10" ht="19.149999999999999" customHeight="1" x14ac:dyDescent="0.25">
      <c r="A40" s="133" t="s">
        <v>8</v>
      </c>
      <c r="B40" s="82">
        <v>1</v>
      </c>
      <c r="C40" s="84" t="s">
        <v>156</v>
      </c>
      <c r="D40" s="107">
        <v>4</v>
      </c>
      <c r="E40" s="83">
        <v>3</v>
      </c>
      <c r="F40" s="86"/>
      <c r="G40" s="86"/>
      <c r="H40" s="86"/>
      <c r="I40" s="86"/>
      <c r="J40" s="4"/>
    </row>
    <row r="41" spans="1:10" ht="19.149999999999999" customHeight="1" x14ac:dyDescent="0.25">
      <c r="A41" s="130"/>
      <c r="B41" s="37">
        <v>2</v>
      </c>
      <c r="C41" s="61" t="s">
        <v>23</v>
      </c>
      <c r="D41" s="102">
        <v>4</v>
      </c>
      <c r="E41" s="31">
        <v>3</v>
      </c>
      <c r="F41" s="76"/>
      <c r="G41" s="76"/>
      <c r="H41" s="76"/>
      <c r="I41" s="76"/>
      <c r="J41" s="4"/>
    </row>
    <row r="42" spans="1:10" ht="19.149999999999999" customHeight="1" x14ac:dyDescent="0.25">
      <c r="A42" s="128"/>
      <c r="B42" s="30">
        <v>3</v>
      </c>
      <c r="C42" s="61" t="s">
        <v>36</v>
      </c>
      <c r="D42" s="102">
        <v>6</v>
      </c>
      <c r="E42" s="31">
        <v>5</v>
      </c>
      <c r="F42" s="72"/>
      <c r="G42" s="72"/>
      <c r="H42" s="72"/>
      <c r="I42" s="72"/>
      <c r="J42" s="4"/>
    </row>
    <row r="43" spans="1:10" ht="19.149999999999999" customHeight="1" x14ac:dyDescent="0.25">
      <c r="A43" s="128"/>
      <c r="B43" s="30">
        <v>4</v>
      </c>
      <c r="C43" s="61" t="s">
        <v>105</v>
      </c>
      <c r="D43" s="102">
        <v>4</v>
      </c>
      <c r="E43" s="31">
        <v>3</v>
      </c>
      <c r="F43" s="72"/>
      <c r="G43" s="72"/>
      <c r="H43" s="72"/>
      <c r="I43" s="72"/>
      <c r="J43" s="4"/>
    </row>
    <row r="44" spans="1:10" ht="19.149999999999999" customHeight="1" x14ac:dyDescent="0.25">
      <c r="A44" s="128"/>
      <c r="B44" s="30">
        <v>5</v>
      </c>
      <c r="C44" s="85" t="s">
        <v>154</v>
      </c>
      <c r="D44" s="102">
        <v>4</v>
      </c>
      <c r="E44" s="31">
        <v>3</v>
      </c>
      <c r="F44" s="72"/>
      <c r="G44" s="72"/>
      <c r="H44" s="72"/>
      <c r="I44" s="72"/>
      <c r="J44" s="4"/>
    </row>
    <row r="45" spans="1:10" ht="19.149999999999999" customHeight="1" x14ac:dyDescent="0.25">
      <c r="A45" s="128"/>
      <c r="B45" s="30">
        <v>6</v>
      </c>
      <c r="C45" s="61" t="s">
        <v>114</v>
      </c>
      <c r="D45" s="102">
        <v>4</v>
      </c>
      <c r="E45" s="31">
        <v>3</v>
      </c>
      <c r="F45" s="72"/>
      <c r="G45" s="72"/>
      <c r="H45" s="72"/>
      <c r="I45" s="72"/>
      <c r="J45" s="4"/>
    </row>
    <row r="46" spans="1:10" ht="19.149999999999999" customHeight="1" x14ac:dyDescent="0.25">
      <c r="A46" s="132"/>
      <c r="B46" s="44">
        <v>7</v>
      </c>
      <c r="C46" s="65" t="s">
        <v>92</v>
      </c>
      <c r="D46" s="108">
        <v>4</v>
      </c>
      <c r="E46" s="40">
        <v>3</v>
      </c>
      <c r="F46" s="73"/>
      <c r="G46" s="73"/>
      <c r="H46" s="73"/>
      <c r="I46" s="73">
        <f>SUM(E40+E41+E42+E43+E44+E45+E46)</f>
        <v>23</v>
      </c>
      <c r="J46" s="4"/>
    </row>
    <row r="47" spans="1:10" ht="18" customHeight="1" x14ac:dyDescent="0.25">
      <c r="A47" s="77"/>
      <c r="B47" s="27"/>
      <c r="C47" s="78"/>
      <c r="D47" s="109"/>
      <c r="E47" s="79"/>
      <c r="F47" s="29"/>
      <c r="G47" s="29"/>
      <c r="H47" s="29"/>
      <c r="I47" s="28"/>
      <c r="J47" s="4"/>
    </row>
    <row r="48" spans="1:10" ht="18" customHeight="1" x14ac:dyDescent="0.25">
      <c r="A48" s="77"/>
      <c r="B48" s="1"/>
      <c r="C48" s="80"/>
      <c r="D48" s="81"/>
      <c r="E48" s="7"/>
      <c r="F48" s="2"/>
      <c r="G48" s="2"/>
      <c r="H48" s="2"/>
      <c r="I48" s="18"/>
      <c r="J48" s="4"/>
    </row>
    <row r="49" spans="1:11" ht="21.6" customHeight="1" x14ac:dyDescent="0.25">
      <c r="A49" s="20"/>
      <c r="B49" s="21"/>
      <c r="C49" s="22"/>
      <c r="D49" s="23"/>
      <c r="E49" s="24"/>
      <c r="F49" s="25"/>
      <c r="G49" s="25"/>
      <c r="H49" s="25"/>
      <c r="I49" s="25"/>
      <c r="J49" s="4"/>
    </row>
    <row r="50" spans="1:11" ht="28.15" customHeight="1" x14ac:dyDescent="0.25">
      <c r="A50" s="19" t="s">
        <v>116</v>
      </c>
      <c r="B50" s="19" t="s">
        <v>117</v>
      </c>
      <c r="C50" s="19" t="s">
        <v>0</v>
      </c>
      <c r="D50" s="19" t="s">
        <v>18</v>
      </c>
      <c r="E50" s="19" t="s">
        <v>1</v>
      </c>
      <c r="F50" s="19" t="s">
        <v>2</v>
      </c>
      <c r="G50" s="19" t="s">
        <v>3</v>
      </c>
      <c r="H50" s="19" t="s">
        <v>4</v>
      </c>
      <c r="I50" s="19" t="s">
        <v>5</v>
      </c>
      <c r="J50" s="4"/>
    </row>
    <row r="51" spans="1:11" ht="19.899999999999999" customHeight="1" x14ac:dyDescent="0.25">
      <c r="A51" s="127" t="s">
        <v>9</v>
      </c>
      <c r="B51" s="30">
        <v>1</v>
      </c>
      <c r="C51" s="61" t="s">
        <v>155</v>
      </c>
      <c r="D51" s="102">
        <v>4</v>
      </c>
      <c r="E51" s="31">
        <v>3</v>
      </c>
      <c r="F51" s="72"/>
      <c r="G51" s="72"/>
      <c r="H51" s="72"/>
      <c r="I51" s="72"/>
      <c r="J51" s="4"/>
    </row>
    <row r="52" spans="1:11" ht="19.899999999999999" customHeight="1" x14ac:dyDescent="0.25">
      <c r="A52" s="128"/>
      <c r="B52" s="30">
        <v>2</v>
      </c>
      <c r="C52" s="61" t="s">
        <v>24</v>
      </c>
      <c r="D52" s="102">
        <v>4</v>
      </c>
      <c r="E52" s="31">
        <v>3</v>
      </c>
      <c r="F52" s="72"/>
      <c r="G52" s="72"/>
      <c r="H52" s="72"/>
      <c r="I52" s="72"/>
      <c r="J52" s="4"/>
    </row>
    <row r="53" spans="1:11" ht="19.899999999999999" customHeight="1" x14ac:dyDescent="0.25">
      <c r="A53" s="128"/>
      <c r="B53" s="30">
        <v>3</v>
      </c>
      <c r="C53" s="61" t="s">
        <v>37</v>
      </c>
      <c r="D53" s="102">
        <v>6</v>
      </c>
      <c r="E53" s="31">
        <v>5</v>
      </c>
      <c r="F53" s="72"/>
      <c r="G53" s="72"/>
      <c r="H53" s="72"/>
      <c r="I53" s="72"/>
      <c r="J53" s="4"/>
    </row>
    <row r="54" spans="1:11" ht="19.899999999999999" customHeight="1" x14ac:dyDescent="0.25">
      <c r="A54" s="128"/>
      <c r="B54" s="30">
        <v>4</v>
      </c>
      <c r="C54" s="61" t="s">
        <v>108</v>
      </c>
      <c r="D54" s="102">
        <v>4</v>
      </c>
      <c r="E54" s="31">
        <v>3</v>
      </c>
      <c r="F54" s="72"/>
      <c r="G54" s="72"/>
      <c r="H54" s="72"/>
      <c r="I54" s="72"/>
      <c r="J54" s="4"/>
    </row>
    <row r="55" spans="1:11" ht="19.899999999999999" customHeight="1" x14ac:dyDescent="0.25">
      <c r="A55" s="132"/>
      <c r="B55" s="30">
        <v>5</v>
      </c>
      <c r="C55" s="65" t="s">
        <v>109</v>
      </c>
      <c r="D55" s="102">
        <v>4</v>
      </c>
      <c r="E55" s="31">
        <v>3</v>
      </c>
      <c r="F55" s="73"/>
      <c r="G55" s="73"/>
      <c r="H55" s="73"/>
      <c r="I55" s="73"/>
      <c r="J55" s="4"/>
    </row>
    <row r="56" spans="1:11" ht="19.899999999999999" customHeight="1" x14ac:dyDescent="0.25">
      <c r="A56" s="132"/>
      <c r="B56" s="30">
        <v>6</v>
      </c>
      <c r="C56" s="61" t="s">
        <v>110</v>
      </c>
      <c r="D56" s="102">
        <v>4</v>
      </c>
      <c r="E56" s="31">
        <v>3</v>
      </c>
      <c r="F56" s="72"/>
      <c r="G56" s="72"/>
      <c r="H56" s="73"/>
      <c r="I56" s="73"/>
      <c r="J56" s="4"/>
    </row>
    <row r="57" spans="1:11" ht="19.899999999999999" customHeight="1" thickBot="1" x14ac:dyDescent="0.3">
      <c r="A57" s="129"/>
      <c r="B57" s="30">
        <v>7</v>
      </c>
      <c r="C57" s="67" t="s">
        <v>93</v>
      </c>
      <c r="D57" s="106">
        <v>4</v>
      </c>
      <c r="E57" s="43">
        <v>3</v>
      </c>
      <c r="F57" s="74"/>
      <c r="G57" s="74"/>
      <c r="H57" s="75"/>
      <c r="I57" s="75">
        <f>SUM(E51+E52+E53+E54+E55+E56+E57)</f>
        <v>23</v>
      </c>
      <c r="J57" s="4"/>
    </row>
    <row r="58" spans="1:11" ht="19.899999999999999" customHeight="1" x14ac:dyDescent="0.25">
      <c r="A58" s="133" t="s">
        <v>10</v>
      </c>
      <c r="B58" s="37">
        <v>1</v>
      </c>
      <c r="C58" s="64" t="s">
        <v>67</v>
      </c>
      <c r="D58" s="104">
        <v>4</v>
      </c>
      <c r="E58" s="38">
        <v>3</v>
      </c>
      <c r="F58" s="76"/>
      <c r="G58" s="76"/>
      <c r="H58" s="76"/>
      <c r="I58" s="76"/>
      <c r="J58" s="4"/>
    </row>
    <row r="59" spans="1:11" ht="19.899999999999999" customHeight="1" x14ac:dyDescent="0.25">
      <c r="A59" s="128"/>
      <c r="B59" s="30">
        <v>2</v>
      </c>
      <c r="C59" s="61" t="s">
        <v>38</v>
      </c>
      <c r="D59" s="102">
        <v>10</v>
      </c>
      <c r="E59" s="31">
        <v>7</v>
      </c>
      <c r="F59" s="72"/>
      <c r="G59" s="72"/>
      <c r="H59" s="72"/>
      <c r="I59" s="72"/>
      <c r="J59" s="4"/>
    </row>
    <row r="60" spans="1:11" ht="19.899999999999999" customHeight="1" x14ac:dyDescent="0.25">
      <c r="A60" s="128"/>
      <c r="B60" s="30">
        <v>3</v>
      </c>
      <c r="C60" s="61" t="s">
        <v>106</v>
      </c>
      <c r="D60" s="102">
        <v>4</v>
      </c>
      <c r="E60" s="31">
        <v>3</v>
      </c>
      <c r="F60" s="72"/>
      <c r="G60" s="72"/>
      <c r="H60" s="72"/>
      <c r="I60" s="72"/>
      <c r="J60" s="4"/>
    </row>
    <row r="61" spans="1:11" ht="19.899999999999999" customHeight="1" x14ac:dyDescent="0.25">
      <c r="A61" s="128"/>
      <c r="B61" s="30">
        <v>4</v>
      </c>
      <c r="C61" s="62" t="s">
        <v>159</v>
      </c>
      <c r="D61" s="102">
        <v>4</v>
      </c>
      <c r="E61" s="31">
        <v>3</v>
      </c>
      <c r="F61" s="72"/>
      <c r="G61" s="72"/>
      <c r="H61" s="72"/>
      <c r="I61" s="72"/>
      <c r="J61" s="4"/>
    </row>
    <row r="62" spans="1:11" ht="19.899999999999999" customHeight="1" x14ac:dyDescent="0.25">
      <c r="A62" s="132"/>
      <c r="B62" s="44">
        <v>5</v>
      </c>
      <c r="C62" s="61" t="s">
        <v>115</v>
      </c>
      <c r="D62" s="102">
        <v>4</v>
      </c>
      <c r="E62" s="31">
        <v>3</v>
      </c>
      <c r="F62" s="73"/>
      <c r="G62" s="73"/>
      <c r="H62" s="73"/>
      <c r="I62" s="73"/>
      <c r="J62" s="4"/>
    </row>
    <row r="63" spans="1:11" ht="19.899999999999999" customHeight="1" thickBot="1" x14ac:dyDescent="0.3">
      <c r="A63" s="129"/>
      <c r="B63" s="34">
        <v>6</v>
      </c>
      <c r="C63" s="67" t="s">
        <v>94</v>
      </c>
      <c r="D63" s="106">
        <v>4</v>
      </c>
      <c r="E63" s="43">
        <v>3</v>
      </c>
      <c r="F63" s="75"/>
      <c r="G63" s="75"/>
      <c r="H63" s="75"/>
      <c r="I63" s="75">
        <f>SUM(E58+E59+E60+E61+E62+E63)</f>
        <v>22</v>
      </c>
      <c r="J63" s="4"/>
    </row>
    <row r="64" spans="1:11" ht="19.899999999999999" customHeight="1" x14ac:dyDescent="0.25">
      <c r="A64" s="130" t="s">
        <v>11</v>
      </c>
      <c r="B64" s="37">
        <v>1</v>
      </c>
      <c r="C64" s="64" t="s">
        <v>39</v>
      </c>
      <c r="D64" s="104">
        <v>12</v>
      </c>
      <c r="E64" s="38">
        <v>8</v>
      </c>
      <c r="F64" s="76"/>
      <c r="G64" s="76"/>
      <c r="H64" s="76"/>
      <c r="I64" s="76"/>
      <c r="J64" s="4"/>
      <c r="K64" s="10"/>
    </row>
    <row r="65" spans="1:10" ht="19.899999999999999" customHeight="1" x14ac:dyDescent="0.25">
      <c r="A65" s="128"/>
      <c r="B65" s="30">
        <v>2</v>
      </c>
      <c r="C65" s="62" t="s">
        <v>151</v>
      </c>
      <c r="D65" s="102">
        <v>6</v>
      </c>
      <c r="E65" s="31">
        <v>5</v>
      </c>
      <c r="F65" s="72"/>
      <c r="G65" s="72"/>
      <c r="H65" s="72"/>
      <c r="I65" s="72"/>
      <c r="J65" s="4"/>
    </row>
    <row r="66" spans="1:10" ht="19.899999999999999" customHeight="1" x14ac:dyDescent="0.25">
      <c r="A66" s="128"/>
      <c r="B66" s="30">
        <v>3</v>
      </c>
      <c r="C66" s="61" t="s">
        <v>111</v>
      </c>
      <c r="D66" s="102">
        <v>4</v>
      </c>
      <c r="E66" s="31">
        <v>3</v>
      </c>
      <c r="F66" s="72"/>
      <c r="G66" s="72"/>
      <c r="H66" s="72"/>
      <c r="I66" s="72"/>
      <c r="J66" s="4"/>
    </row>
    <row r="67" spans="1:10" ht="19.899999999999999" customHeight="1" x14ac:dyDescent="0.25">
      <c r="A67" s="132"/>
      <c r="B67" s="44">
        <v>4</v>
      </c>
      <c r="C67" s="61" t="s">
        <v>160</v>
      </c>
      <c r="D67" s="102">
        <v>4</v>
      </c>
      <c r="E67" s="31">
        <v>3</v>
      </c>
      <c r="F67" s="73"/>
      <c r="G67" s="73"/>
      <c r="H67" s="73"/>
      <c r="I67" s="73"/>
      <c r="J67" s="4"/>
    </row>
    <row r="68" spans="1:10" ht="19.899999999999999" customHeight="1" thickBot="1" x14ac:dyDescent="0.3">
      <c r="A68" s="132"/>
      <c r="B68" s="34">
        <v>5</v>
      </c>
      <c r="C68" s="67" t="s">
        <v>95</v>
      </c>
      <c r="D68" s="103">
        <v>4</v>
      </c>
      <c r="E68" s="35">
        <v>3</v>
      </c>
      <c r="F68" s="75"/>
      <c r="G68" s="75"/>
      <c r="H68" s="75"/>
      <c r="I68" s="75">
        <f>SUM(E64+E65+E66+E67+E68)</f>
        <v>22</v>
      </c>
      <c r="J68" s="4"/>
    </row>
    <row r="69" spans="1:10" ht="19.899999999999999" customHeight="1" x14ac:dyDescent="0.25">
      <c r="A69" s="134" t="s">
        <v>12</v>
      </c>
      <c r="B69" s="37">
        <v>1</v>
      </c>
      <c r="C69" s="64" t="s">
        <v>40</v>
      </c>
      <c r="D69" s="104">
        <v>26</v>
      </c>
      <c r="E69" s="38">
        <v>15</v>
      </c>
      <c r="F69" s="76"/>
      <c r="G69" s="76"/>
      <c r="H69" s="76"/>
      <c r="I69" s="76"/>
      <c r="J69" s="4"/>
    </row>
    <row r="70" spans="1:10" ht="19.899999999999999" customHeight="1" thickBot="1" x14ac:dyDescent="0.3">
      <c r="A70" s="135"/>
      <c r="B70" s="34">
        <v>2</v>
      </c>
      <c r="C70" s="63" t="s">
        <v>112</v>
      </c>
      <c r="D70" s="103">
        <v>4</v>
      </c>
      <c r="E70" s="35">
        <v>3</v>
      </c>
      <c r="F70" s="75"/>
      <c r="G70" s="75"/>
      <c r="H70" s="75"/>
      <c r="I70" s="75">
        <f>SUM(E69+E70)</f>
        <v>18</v>
      </c>
      <c r="J70" s="4"/>
    </row>
    <row r="71" spans="1:10" ht="19.899999999999999" customHeight="1" x14ac:dyDescent="0.25">
      <c r="A71" s="136" t="s">
        <v>13</v>
      </c>
      <c r="B71" s="37">
        <v>1</v>
      </c>
      <c r="C71" s="64" t="s">
        <v>41</v>
      </c>
      <c r="D71" s="104">
        <v>26</v>
      </c>
      <c r="E71" s="38">
        <v>15</v>
      </c>
      <c r="F71" s="76"/>
      <c r="G71" s="76"/>
      <c r="H71" s="76"/>
      <c r="I71" s="76"/>
      <c r="J71" s="4"/>
    </row>
    <row r="72" spans="1:10" ht="19.899999999999999" customHeight="1" thickBot="1" x14ac:dyDescent="0.3">
      <c r="A72" s="137"/>
      <c r="B72" s="34">
        <v>2</v>
      </c>
      <c r="C72" s="63" t="s">
        <v>113</v>
      </c>
      <c r="D72" s="103">
        <v>4</v>
      </c>
      <c r="E72" s="35">
        <v>3</v>
      </c>
      <c r="F72" s="75"/>
      <c r="G72" s="75"/>
      <c r="H72" s="75"/>
      <c r="I72" s="75">
        <f>SUM(E71+E72)</f>
        <v>18</v>
      </c>
      <c r="J72" s="4"/>
    </row>
    <row r="73" spans="1:10" ht="12.95" customHeight="1" x14ac:dyDescent="0.25">
      <c r="A73" s="6"/>
      <c r="B73" s="6"/>
      <c r="C73" s="6"/>
      <c r="D73" s="6"/>
      <c r="E73" s="6"/>
      <c r="F73" s="6"/>
      <c r="G73" s="6"/>
      <c r="H73" s="6"/>
      <c r="I73" s="6"/>
      <c r="J73" s="4"/>
    </row>
    <row r="74" spans="1:10" x14ac:dyDescent="0.25">
      <c r="A74" s="5"/>
      <c r="B74" s="5"/>
      <c r="C74" s="5"/>
      <c r="D74" s="5"/>
      <c r="E74" s="5"/>
      <c r="F74" s="5"/>
      <c r="G74" s="5"/>
      <c r="H74" s="5"/>
      <c r="I74" s="5"/>
      <c r="J74" s="4"/>
    </row>
    <row r="75" spans="1:10" x14ac:dyDescent="0.25">
      <c r="A75" s="125" t="s">
        <v>118</v>
      </c>
      <c r="B75" s="125"/>
      <c r="C75" s="125"/>
      <c r="D75" s="125"/>
      <c r="E75" s="125"/>
      <c r="F75" s="125"/>
      <c r="G75" s="125"/>
      <c r="H75" s="125"/>
      <c r="I75" s="125"/>
      <c r="J75" s="4"/>
    </row>
    <row r="76" spans="1:10" ht="23.25" customHeight="1" x14ac:dyDescent="0.25">
      <c r="A76" s="5"/>
      <c r="B76" s="5"/>
      <c r="C76" s="5"/>
      <c r="D76" s="126" t="s">
        <v>16</v>
      </c>
      <c r="E76" s="126"/>
      <c r="F76" s="126"/>
      <c r="G76" s="126"/>
      <c r="H76" s="126"/>
      <c r="I76" s="126"/>
      <c r="J76" s="4"/>
    </row>
    <row r="77" spans="1:10" ht="13.5" customHeight="1" x14ac:dyDescent="0.25">
      <c r="A77" s="13"/>
      <c r="B77" s="13"/>
      <c r="C77" s="13"/>
      <c r="D77" s="5"/>
      <c r="E77" s="5"/>
      <c r="F77" s="5"/>
      <c r="G77" s="5"/>
      <c r="H77" s="5"/>
      <c r="I77" s="5"/>
      <c r="J77" s="4"/>
    </row>
    <row r="78" spans="1:10" x14ac:dyDescent="0.25">
      <c r="A78" s="122" t="s">
        <v>120</v>
      </c>
      <c r="B78" s="122"/>
      <c r="C78" s="122"/>
      <c r="D78" s="5"/>
      <c r="E78" s="5"/>
      <c r="F78" s="5"/>
      <c r="G78" s="5"/>
      <c r="H78" s="5"/>
      <c r="I78" s="5"/>
      <c r="J78" s="4"/>
    </row>
    <row r="79" spans="1:10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</row>
    <row r="80" spans="1:10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</row>
    <row r="81" spans="1:10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0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0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0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0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0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</row>
    <row r="87" spans="1:10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</row>
    <row r="88" spans="1:10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</row>
    <row r="89" spans="1:10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</row>
    <row r="90" spans="1:1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</row>
    <row r="100" spans="6:6" x14ac:dyDescent="0.25">
      <c r="F100" t="s">
        <v>17</v>
      </c>
    </row>
  </sheetData>
  <mergeCells count="13">
    <mergeCell ref="D76:I76"/>
    <mergeCell ref="A78:C78"/>
    <mergeCell ref="A51:A57"/>
    <mergeCell ref="A58:A63"/>
    <mergeCell ref="A64:A68"/>
    <mergeCell ref="A69:A70"/>
    <mergeCell ref="A71:A72"/>
    <mergeCell ref="A14:A19"/>
    <mergeCell ref="A20:A25"/>
    <mergeCell ref="A26:A32"/>
    <mergeCell ref="A33:A39"/>
    <mergeCell ref="A40:A46"/>
    <mergeCell ref="A75:I75"/>
  </mergeCells>
  <pageMargins left="0.63" right="0.15" top="0.3" bottom="0.2" header="0.31496062992125984" footer="0.3"/>
  <pageSetup paperSize="9" scale="91" orientation="portrait" horizontalDpi="4294967294" verticalDpi="300" r:id="rId1"/>
  <rowBreaks count="2" manualBreakCount="2">
    <brk id="47" max="8" man="1"/>
    <brk id="87" max="16383" man="1"/>
  </rowBreaks>
  <colBreaks count="1" manualBreakCount="1">
    <brk id="9" max="81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4D41C-9053-40B8-B617-23F88D3190BF}">
  <sheetPr codeName="Hoja7"/>
  <dimension ref="A1:K99"/>
  <sheetViews>
    <sheetView tabSelected="1" topLeftCell="A16" zoomScale="81" zoomScaleNormal="81" zoomScaleSheetLayoutView="80" workbookViewId="0">
      <selection activeCell="S36" sqref="S36"/>
    </sheetView>
  </sheetViews>
  <sheetFormatPr baseColWidth="10" defaultRowHeight="15" x14ac:dyDescent="0.25"/>
  <cols>
    <col min="1" max="2" width="3.42578125" customWidth="1"/>
    <col min="3" max="3" width="50.28515625" customWidth="1"/>
    <col min="4" max="4" width="6.140625" customWidth="1"/>
    <col min="5" max="5" width="5.42578125" customWidth="1"/>
    <col min="6" max="6" width="7" customWidth="1"/>
    <col min="7" max="7" width="6.85546875" customWidth="1"/>
    <col min="8" max="8" width="13.28515625" customWidth="1"/>
    <col min="9" max="9" width="7" customWidth="1"/>
  </cols>
  <sheetData>
    <row r="1" spans="1:10" x14ac:dyDescent="0.25">
      <c r="A1" s="4"/>
      <c r="B1" s="4"/>
      <c r="C1" s="4"/>
      <c r="D1" s="4"/>
      <c r="E1" s="4"/>
      <c r="F1" s="4"/>
      <c r="G1" s="4"/>
      <c r="H1" s="4"/>
      <c r="I1" s="4"/>
      <c r="J1" s="4"/>
    </row>
    <row r="2" spans="1:10" x14ac:dyDescent="0.2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x14ac:dyDescent="0.25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18" customHeight="1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 ht="9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ht="8.4499999999999993" customHeight="1" x14ac:dyDescent="0.25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ht="42.6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ht="27" customHeight="1" x14ac:dyDescent="0.25">
      <c r="A13" s="19" t="s">
        <v>116</v>
      </c>
      <c r="B13" s="19" t="s">
        <v>117</v>
      </c>
      <c r="C13" s="19" t="s">
        <v>0</v>
      </c>
      <c r="D13" s="19" t="s">
        <v>18</v>
      </c>
      <c r="E13" s="19" t="s">
        <v>1</v>
      </c>
      <c r="F13" s="19" t="s">
        <v>2</v>
      </c>
      <c r="G13" s="19" t="s">
        <v>3</v>
      </c>
      <c r="H13" s="19" t="s">
        <v>4</v>
      </c>
      <c r="I13" s="19" t="s">
        <v>5</v>
      </c>
      <c r="J13" s="4"/>
    </row>
    <row r="14" spans="1:10" ht="19.149999999999999" customHeight="1" x14ac:dyDescent="0.25">
      <c r="A14" s="138" t="s">
        <v>6</v>
      </c>
      <c r="B14" s="60">
        <v>1</v>
      </c>
      <c r="C14" s="64" t="s">
        <v>65</v>
      </c>
      <c r="D14" s="89">
        <v>4</v>
      </c>
      <c r="E14" s="38">
        <v>3</v>
      </c>
      <c r="F14" s="38"/>
      <c r="G14" s="38"/>
      <c r="H14" s="38"/>
      <c r="I14" s="38"/>
      <c r="J14" s="17"/>
    </row>
    <row r="15" spans="1:10" ht="19.149999999999999" customHeight="1" x14ac:dyDescent="0.25">
      <c r="A15" s="139"/>
      <c r="B15" s="57">
        <v>2</v>
      </c>
      <c r="C15" s="61" t="s">
        <v>26</v>
      </c>
      <c r="D15" s="42">
        <v>4</v>
      </c>
      <c r="E15" s="31">
        <v>3</v>
      </c>
      <c r="F15" s="31"/>
      <c r="G15" s="31"/>
      <c r="H15" s="31"/>
      <c r="I15" s="31"/>
      <c r="J15" s="17"/>
    </row>
    <row r="16" spans="1:10" ht="19.149999999999999" customHeight="1" x14ac:dyDescent="0.25">
      <c r="A16" s="139"/>
      <c r="B16" s="57">
        <v>3</v>
      </c>
      <c r="C16" s="61" t="s">
        <v>30</v>
      </c>
      <c r="D16" s="42">
        <v>4</v>
      </c>
      <c r="E16" s="31">
        <v>3</v>
      </c>
      <c r="F16" s="31"/>
      <c r="G16" s="31"/>
      <c r="H16" s="31"/>
      <c r="I16" s="31"/>
      <c r="J16" s="17"/>
    </row>
    <row r="17" spans="1:10" ht="19.149999999999999" customHeight="1" x14ac:dyDescent="0.25">
      <c r="A17" s="139"/>
      <c r="B17" s="57">
        <v>4</v>
      </c>
      <c r="C17" s="61" t="s">
        <v>28</v>
      </c>
      <c r="D17" s="42">
        <v>6</v>
      </c>
      <c r="E17" s="31">
        <v>5</v>
      </c>
      <c r="F17" s="31"/>
      <c r="G17" s="31"/>
      <c r="H17" s="31"/>
      <c r="I17" s="31"/>
      <c r="J17" s="17"/>
    </row>
    <row r="18" spans="1:10" ht="19.149999999999999" customHeight="1" x14ac:dyDescent="0.25">
      <c r="A18" s="139"/>
      <c r="B18" s="57">
        <v>5</v>
      </c>
      <c r="C18" s="61" t="s">
        <v>96</v>
      </c>
      <c r="D18" s="42">
        <v>6</v>
      </c>
      <c r="E18" s="31">
        <v>5</v>
      </c>
      <c r="F18" s="31"/>
      <c r="G18" s="31"/>
      <c r="H18" s="31"/>
      <c r="I18" s="31"/>
      <c r="J18" s="17"/>
    </row>
    <row r="19" spans="1:10" ht="19.149999999999999" customHeight="1" thickBot="1" x14ac:dyDescent="0.3">
      <c r="A19" s="140"/>
      <c r="B19" s="57">
        <v>6</v>
      </c>
      <c r="C19" s="63" t="s">
        <v>69</v>
      </c>
      <c r="D19" s="87">
        <v>6</v>
      </c>
      <c r="E19" s="35">
        <v>5</v>
      </c>
      <c r="F19" s="35"/>
      <c r="G19" s="35"/>
      <c r="H19" s="35"/>
      <c r="I19" s="35">
        <f>SUM(E14+E15+E16+E17+E18+E19)</f>
        <v>24</v>
      </c>
      <c r="J19" s="17"/>
    </row>
    <row r="20" spans="1:10" ht="19.149999999999999" customHeight="1" x14ac:dyDescent="0.25">
      <c r="A20" s="141" t="s">
        <v>121</v>
      </c>
      <c r="B20" s="88">
        <v>1</v>
      </c>
      <c r="C20" s="65" t="s">
        <v>27</v>
      </c>
      <c r="D20" s="89">
        <v>4</v>
      </c>
      <c r="E20" s="38">
        <v>3</v>
      </c>
      <c r="F20" s="38"/>
      <c r="G20" s="38"/>
      <c r="H20" s="38"/>
      <c r="I20" s="38"/>
      <c r="J20" s="17"/>
    </row>
    <row r="21" spans="1:10" ht="19.149999999999999" customHeight="1" x14ac:dyDescent="0.25">
      <c r="A21" s="138"/>
      <c r="B21" s="60">
        <v>2</v>
      </c>
      <c r="C21" s="65" t="s">
        <v>20</v>
      </c>
      <c r="D21" s="89">
        <v>4</v>
      </c>
      <c r="E21" s="38">
        <v>3</v>
      </c>
      <c r="F21" s="38"/>
      <c r="G21" s="38"/>
      <c r="H21" s="38"/>
      <c r="I21" s="38"/>
      <c r="J21" s="17"/>
    </row>
    <row r="22" spans="1:10" ht="19.149999999999999" customHeight="1" x14ac:dyDescent="0.25">
      <c r="A22" s="139"/>
      <c r="B22" s="57">
        <v>3</v>
      </c>
      <c r="C22" s="61" t="s">
        <v>22</v>
      </c>
      <c r="D22" s="89">
        <v>4</v>
      </c>
      <c r="E22" s="38">
        <v>3</v>
      </c>
      <c r="F22" s="31"/>
      <c r="G22" s="31"/>
      <c r="H22" s="31"/>
      <c r="I22" s="31"/>
      <c r="J22" s="17"/>
    </row>
    <row r="23" spans="1:10" ht="19.149999999999999" customHeight="1" x14ac:dyDescent="0.25">
      <c r="A23" s="139"/>
      <c r="B23" s="57">
        <v>4</v>
      </c>
      <c r="C23" s="61" t="s">
        <v>33</v>
      </c>
      <c r="D23" s="42">
        <v>6</v>
      </c>
      <c r="E23" s="31">
        <v>5</v>
      </c>
      <c r="F23" s="31"/>
      <c r="G23" s="31"/>
      <c r="H23" s="31"/>
      <c r="I23" s="31"/>
      <c r="J23" s="17"/>
    </row>
    <row r="24" spans="1:10" ht="19.149999999999999" customHeight="1" x14ac:dyDescent="0.25">
      <c r="A24" s="139"/>
      <c r="B24" s="57">
        <v>5</v>
      </c>
      <c r="C24" s="61" t="s">
        <v>70</v>
      </c>
      <c r="D24" s="42">
        <v>6</v>
      </c>
      <c r="E24" s="31">
        <v>5</v>
      </c>
      <c r="F24" s="31"/>
      <c r="G24" s="31"/>
      <c r="H24" s="31"/>
      <c r="I24" s="31"/>
      <c r="J24" s="17"/>
    </row>
    <row r="25" spans="1:10" ht="19.149999999999999" customHeight="1" thickBot="1" x14ac:dyDescent="0.3">
      <c r="A25" s="139"/>
      <c r="B25" s="59">
        <v>6</v>
      </c>
      <c r="C25" s="63" t="s">
        <v>73</v>
      </c>
      <c r="D25" s="87">
        <v>6</v>
      </c>
      <c r="E25" s="35">
        <v>5</v>
      </c>
      <c r="F25" s="35"/>
      <c r="G25" s="35"/>
      <c r="H25" s="35"/>
      <c r="I25" s="35">
        <f>E20+E21+E22+E23+E24+E25</f>
        <v>24</v>
      </c>
      <c r="J25" s="17"/>
    </row>
    <row r="26" spans="1:10" ht="19.149999999999999" customHeight="1" x14ac:dyDescent="0.25">
      <c r="A26" s="141" t="s">
        <v>122</v>
      </c>
      <c r="B26" s="60">
        <v>1</v>
      </c>
      <c r="C26" s="61" t="s">
        <v>21</v>
      </c>
      <c r="D26" s="89">
        <v>4</v>
      </c>
      <c r="E26" s="38">
        <v>3</v>
      </c>
      <c r="F26" s="38"/>
      <c r="G26" s="38"/>
      <c r="H26" s="38"/>
      <c r="I26" s="38"/>
      <c r="J26" s="17"/>
    </row>
    <row r="27" spans="1:10" ht="19.149999999999999" customHeight="1" x14ac:dyDescent="0.25">
      <c r="A27" s="138"/>
      <c r="B27" s="60">
        <v>2</v>
      </c>
      <c r="C27" s="61" t="s">
        <v>168</v>
      </c>
      <c r="D27" s="89">
        <v>4</v>
      </c>
      <c r="E27" s="38">
        <v>3</v>
      </c>
      <c r="F27" s="38"/>
      <c r="G27" s="38"/>
      <c r="H27" s="38"/>
      <c r="I27" s="38"/>
      <c r="J27" s="17"/>
    </row>
    <row r="28" spans="1:10" ht="19.149999999999999" customHeight="1" x14ac:dyDescent="0.25">
      <c r="A28" s="139"/>
      <c r="B28" s="57">
        <v>3</v>
      </c>
      <c r="C28" s="61" t="s">
        <v>34</v>
      </c>
      <c r="D28" s="42">
        <v>6</v>
      </c>
      <c r="E28" s="31">
        <v>5</v>
      </c>
      <c r="F28" s="31"/>
      <c r="G28" s="31"/>
      <c r="H28" s="31"/>
      <c r="I28" s="31"/>
      <c r="J28" s="17"/>
    </row>
    <row r="29" spans="1:10" ht="19.149999999999999" customHeight="1" x14ac:dyDescent="0.25">
      <c r="A29" s="139"/>
      <c r="B29" s="57">
        <v>4</v>
      </c>
      <c r="C29" s="61" t="s">
        <v>74</v>
      </c>
      <c r="D29" s="42">
        <v>4</v>
      </c>
      <c r="E29" s="31">
        <v>3</v>
      </c>
      <c r="F29" s="31"/>
      <c r="G29" s="31"/>
      <c r="H29" s="31"/>
      <c r="I29" s="31"/>
      <c r="J29" s="17"/>
    </row>
    <row r="30" spans="1:10" ht="19.149999999999999" customHeight="1" x14ac:dyDescent="0.25">
      <c r="A30" s="139"/>
      <c r="B30" s="57">
        <v>5</v>
      </c>
      <c r="C30" s="61" t="s">
        <v>75</v>
      </c>
      <c r="D30" s="42">
        <v>4</v>
      </c>
      <c r="E30" s="31">
        <v>3</v>
      </c>
      <c r="F30" s="31"/>
      <c r="G30" s="31"/>
      <c r="H30" s="31"/>
      <c r="I30" s="31"/>
      <c r="J30" s="17"/>
    </row>
    <row r="31" spans="1:10" ht="19.149999999999999" customHeight="1" x14ac:dyDescent="0.25">
      <c r="A31" s="139"/>
      <c r="B31" s="57">
        <v>6</v>
      </c>
      <c r="C31" s="61" t="s">
        <v>76</v>
      </c>
      <c r="D31" s="42">
        <v>4</v>
      </c>
      <c r="E31" s="31">
        <v>3</v>
      </c>
      <c r="F31" s="31"/>
      <c r="G31" s="40"/>
      <c r="H31" s="40"/>
      <c r="I31" s="40"/>
      <c r="J31" s="17"/>
    </row>
    <row r="32" spans="1:10" ht="19.149999999999999" customHeight="1" thickBot="1" x14ac:dyDescent="0.3">
      <c r="A32" s="140"/>
      <c r="B32" s="59">
        <v>7</v>
      </c>
      <c r="C32" s="63" t="s">
        <v>170</v>
      </c>
      <c r="D32" s="90">
        <v>4</v>
      </c>
      <c r="E32" s="43">
        <v>3</v>
      </c>
      <c r="F32" s="43"/>
      <c r="G32" s="35"/>
      <c r="H32" s="35"/>
      <c r="I32" s="35">
        <f>E27+E26+E28+E29+E30+E31+E32</f>
        <v>23</v>
      </c>
      <c r="J32" s="17"/>
    </row>
    <row r="33" spans="1:11" ht="19.149999999999999" customHeight="1" x14ac:dyDescent="0.25">
      <c r="A33" s="141" t="s">
        <v>14</v>
      </c>
      <c r="B33" s="88">
        <v>1</v>
      </c>
      <c r="C33" s="61" t="s">
        <v>167</v>
      </c>
      <c r="D33" s="89">
        <v>4</v>
      </c>
      <c r="E33" s="38">
        <v>3</v>
      </c>
      <c r="F33" s="38"/>
      <c r="G33" s="38"/>
      <c r="H33" s="38"/>
      <c r="I33" s="38"/>
      <c r="J33" s="17"/>
    </row>
    <row r="34" spans="1:11" ht="19.149999999999999" customHeight="1" x14ac:dyDescent="0.25">
      <c r="A34" s="138"/>
      <c r="B34" s="60">
        <v>2</v>
      </c>
      <c r="C34" s="65" t="s">
        <v>31</v>
      </c>
      <c r="D34" s="89">
        <v>4</v>
      </c>
      <c r="E34" s="38">
        <v>3</v>
      </c>
      <c r="F34" s="38"/>
      <c r="G34" s="38"/>
      <c r="H34" s="38"/>
      <c r="I34" s="38"/>
      <c r="J34" s="17"/>
    </row>
    <row r="35" spans="1:11" ht="19.149999999999999" customHeight="1" x14ac:dyDescent="0.25">
      <c r="A35" s="139"/>
      <c r="B35" s="57">
        <v>3</v>
      </c>
      <c r="C35" s="61" t="s">
        <v>35</v>
      </c>
      <c r="D35" s="42">
        <v>6</v>
      </c>
      <c r="E35" s="31">
        <v>5</v>
      </c>
      <c r="F35" s="31"/>
      <c r="G35" s="31"/>
      <c r="H35" s="31"/>
      <c r="I35" s="31"/>
      <c r="J35" s="17"/>
      <c r="K35" s="11"/>
    </row>
    <row r="36" spans="1:11" ht="19.149999999999999" customHeight="1" x14ac:dyDescent="0.25">
      <c r="A36" s="139"/>
      <c r="B36" s="57">
        <v>4</v>
      </c>
      <c r="C36" s="61" t="s">
        <v>71</v>
      </c>
      <c r="D36" s="42">
        <v>4</v>
      </c>
      <c r="E36" s="31">
        <v>3</v>
      </c>
      <c r="F36" s="31"/>
      <c r="G36" s="31"/>
      <c r="H36" s="31"/>
      <c r="I36" s="31"/>
      <c r="J36" s="17"/>
      <c r="K36" s="99"/>
    </row>
    <row r="37" spans="1:11" ht="19.149999999999999" customHeight="1" x14ac:dyDescent="0.25">
      <c r="A37" s="139"/>
      <c r="B37" s="57">
        <v>5</v>
      </c>
      <c r="C37" s="64" t="s">
        <v>161</v>
      </c>
      <c r="D37" s="32">
        <v>4</v>
      </c>
      <c r="E37" s="31">
        <v>3</v>
      </c>
      <c r="F37" s="31"/>
      <c r="G37" s="31"/>
      <c r="H37" s="31"/>
      <c r="I37" s="31"/>
      <c r="J37" s="17"/>
      <c r="K37" s="99"/>
    </row>
    <row r="38" spans="1:11" ht="19.149999999999999" customHeight="1" x14ac:dyDescent="0.25">
      <c r="A38" s="139"/>
      <c r="B38" s="57">
        <v>6</v>
      </c>
      <c r="C38" s="61" t="s">
        <v>77</v>
      </c>
      <c r="D38" s="89">
        <v>4</v>
      </c>
      <c r="E38" s="38">
        <v>3</v>
      </c>
      <c r="F38" s="31"/>
      <c r="G38" s="31"/>
      <c r="H38" s="31"/>
      <c r="I38" s="31"/>
      <c r="J38" s="17"/>
    </row>
    <row r="39" spans="1:11" ht="19.149999999999999" customHeight="1" thickBot="1" x14ac:dyDescent="0.3">
      <c r="A39" s="139"/>
      <c r="B39" s="57">
        <v>7</v>
      </c>
      <c r="C39" s="61" t="s">
        <v>169</v>
      </c>
      <c r="D39" s="42">
        <v>4</v>
      </c>
      <c r="E39" s="31">
        <v>3</v>
      </c>
      <c r="F39" s="31"/>
      <c r="G39" s="31"/>
      <c r="H39" s="31"/>
      <c r="I39" s="35">
        <f>E33+E34+E35+E36+E37+E38+E39</f>
        <v>23</v>
      </c>
      <c r="J39" s="17"/>
    </row>
    <row r="40" spans="1:11" ht="19.149999999999999" customHeight="1" x14ac:dyDescent="0.25">
      <c r="A40" s="141" t="s">
        <v>8</v>
      </c>
      <c r="B40" s="88">
        <v>1</v>
      </c>
      <c r="C40" s="84" t="s">
        <v>23</v>
      </c>
      <c r="D40" s="91">
        <v>4</v>
      </c>
      <c r="E40" s="83">
        <v>3</v>
      </c>
      <c r="F40" s="83"/>
      <c r="G40" s="83"/>
      <c r="H40" s="83"/>
      <c r="I40" s="83"/>
      <c r="J40" s="17"/>
    </row>
    <row r="41" spans="1:11" ht="19.149999999999999" customHeight="1" x14ac:dyDescent="0.25">
      <c r="A41" s="139"/>
      <c r="B41" s="57">
        <v>2</v>
      </c>
      <c r="C41" s="61" t="s">
        <v>36</v>
      </c>
      <c r="D41" s="42">
        <v>6</v>
      </c>
      <c r="E41" s="31">
        <v>5</v>
      </c>
      <c r="F41" s="31"/>
      <c r="G41" s="31"/>
      <c r="H41" s="31"/>
      <c r="I41" s="31"/>
      <c r="J41" s="17"/>
    </row>
    <row r="42" spans="1:11" ht="19.149999999999999" customHeight="1" x14ac:dyDescent="0.25">
      <c r="A42" s="139"/>
      <c r="B42" s="57">
        <v>3</v>
      </c>
      <c r="C42" s="61" t="s">
        <v>162</v>
      </c>
      <c r="D42" s="42">
        <v>4</v>
      </c>
      <c r="E42" s="31">
        <v>3</v>
      </c>
      <c r="F42" s="31"/>
      <c r="G42" s="31"/>
      <c r="H42" s="31"/>
      <c r="I42" s="31"/>
      <c r="J42" s="17"/>
    </row>
    <row r="43" spans="1:11" ht="19.149999999999999" customHeight="1" x14ac:dyDescent="0.25">
      <c r="A43" s="139"/>
      <c r="B43" s="57">
        <v>4</v>
      </c>
      <c r="C43" s="61" t="s">
        <v>78</v>
      </c>
      <c r="D43" s="42">
        <v>4</v>
      </c>
      <c r="E43" s="31">
        <v>3</v>
      </c>
      <c r="F43" s="31"/>
      <c r="G43" s="31"/>
      <c r="H43" s="31"/>
      <c r="I43" s="31"/>
      <c r="J43" s="17"/>
    </row>
    <row r="44" spans="1:11" ht="19.149999999999999" customHeight="1" x14ac:dyDescent="0.25">
      <c r="A44" s="139"/>
      <c r="B44" s="57">
        <v>5</v>
      </c>
      <c r="C44" s="61" t="s">
        <v>79</v>
      </c>
      <c r="D44" s="42">
        <v>4</v>
      </c>
      <c r="E44" s="31">
        <v>3</v>
      </c>
      <c r="F44" s="31"/>
      <c r="G44" s="31"/>
      <c r="H44" s="31"/>
      <c r="I44" s="31"/>
      <c r="J44" s="17"/>
    </row>
    <row r="45" spans="1:11" ht="19.149999999999999" customHeight="1" x14ac:dyDescent="0.25">
      <c r="A45" s="139"/>
      <c r="B45" s="57">
        <v>6</v>
      </c>
      <c r="C45" s="61" t="s">
        <v>80</v>
      </c>
      <c r="D45" s="42">
        <v>4</v>
      </c>
      <c r="E45" s="31">
        <v>3</v>
      </c>
      <c r="F45" s="40"/>
      <c r="G45" s="40"/>
      <c r="H45" s="40"/>
      <c r="I45" s="40"/>
      <c r="J45" s="17"/>
    </row>
    <row r="46" spans="1:11" ht="19.149999999999999" customHeight="1" thickBot="1" x14ac:dyDescent="0.3">
      <c r="A46" s="140"/>
      <c r="B46" s="59">
        <v>7</v>
      </c>
      <c r="C46" s="63" t="s">
        <v>97</v>
      </c>
      <c r="D46" s="90">
        <v>4</v>
      </c>
      <c r="E46" s="43">
        <v>3</v>
      </c>
      <c r="F46" s="35"/>
      <c r="G46" s="35"/>
      <c r="H46" s="35"/>
      <c r="I46" s="35">
        <f>SUM(E40+E41+E43+E42+E44+E45+E46)</f>
        <v>23</v>
      </c>
      <c r="J46" s="17"/>
    </row>
    <row r="47" spans="1:11" ht="18" customHeight="1" x14ac:dyDescent="0.25">
      <c r="A47" s="14"/>
      <c r="B47" s="1"/>
      <c r="C47" s="15"/>
      <c r="D47" s="16"/>
      <c r="E47" s="9"/>
      <c r="F47" s="2"/>
      <c r="G47" s="2"/>
      <c r="H47" s="2"/>
      <c r="I47" s="2"/>
      <c r="J47" s="4"/>
    </row>
    <row r="48" spans="1:11" ht="18" customHeight="1" x14ac:dyDescent="0.25">
      <c r="A48" s="14"/>
      <c r="B48" s="1"/>
      <c r="C48" s="15"/>
      <c r="D48" s="16"/>
      <c r="E48" s="9"/>
      <c r="F48" s="2"/>
      <c r="G48" s="2"/>
      <c r="H48" s="2"/>
      <c r="I48" s="2"/>
      <c r="J48" s="4"/>
    </row>
    <row r="49" spans="1:11" ht="31.9" customHeight="1" x14ac:dyDescent="0.25">
      <c r="A49" s="19" t="s">
        <v>116</v>
      </c>
      <c r="B49" s="19" t="s">
        <v>117</v>
      </c>
      <c r="C49" s="19" t="s">
        <v>0</v>
      </c>
      <c r="D49" s="92" t="s">
        <v>18</v>
      </c>
      <c r="E49" s="19" t="s">
        <v>1</v>
      </c>
      <c r="F49" s="19" t="s">
        <v>2</v>
      </c>
      <c r="G49" s="19" t="s">
        <v>3</v>
      </c>
      <c r="H49" s="19" t="s">
        <v>4</v>
      </c>
      <c r="I49" s="19" t="s">
        <v>5</v>
      </c>
      <c r="J49" s="4"/>
    </row>
    <row r="50" spans="1:11" ht="19.149999999999999" customHeight="1" x14ac:dyDescent="0.25">
      <c r="A50" s="139" t="s">
        <v>9</v>
      </c>
      <c r="B50" s="57">
        <v>1</v>
      </c>
      <c r="C50" s="61" t="s">
        <v>67</v>
      </c>
      <c r="D50" s="42">
        <v>4</v>
      </c>
      <c r="E50" s="31">
        <v>3</v>
      </c>
      <c r="F50" s="31"/>
      <c r="G50" s="31"/>
      <c r="H50" s="31"/>
      <c r="I50" s="31"/>
      <c r="J50" s="17"/>
      <c r="K50" s="12"/>
    </row>
    <row r="51" spans="1:11" ht="19.149999999999999" customHeight="1" x14ac:dyDescent="0.25">
      <c r="A51" s="139"/>
      <c r="B51" s="57">
        <v>2</v>
      </c>
      <c r="C51" s="61" t="s">
        <v>37</v>
      </c>
      <c r="D51" s="42">
        <v>6</v>
      </c>
      <c r="E51" s="31">
        <v>5</v>
      </c>
      <c r="F51" s="31"/>
      <c r="G51" s="31"/>
      <c r="H51" s="31"/>
      <c r="I51" s="31"/>
      <c r="J51" s="17"/>
      <c r="K51" s="12"/>
    </row>
    <row r="52" spans="1:11" ht="19.149999999999999" customHeight="1" x14ac:dyDescent="0.25">
      <c r="A52" s="139"/>
      <c r="B52" s="57">
        <v>3</v>
      </c>
      <c r="C52" s="61" t="s">
        <v>72</v>
      </c>
      <c r="D52" s="42">
        <v>4</v>
      </c>
      <c r="E52" s="31">
        <v>3</v>
      </c>
      <c r="F52" s="31"/>
      <c r="G52" s="31"/>
      <c r="H52" s="31"/>
      <c r="I52" s="31"/>
      <c r="J52" s="17"/>
      <c r="K52" s="12"/>
    </row>
    <row r="53" spans="1:11" ht="19.149999999999999" customHeight="1" x14ac:dyDescent="0.25">
      <c r="A53" s="139"/>
      <c r="B53" s="57">
        <v>4</v>
      </c>
      <c r="C53" s="61" t="s">
        <v>163</v>
      </c>
      <c r="D53" s="42">
        <v>4</v>
      </c>
      <c r="E53" s="31">
        <v>3</v>
      </c>
      <c r="F53" s="31"/>
      <c r="G53" s="31"/>
      <c r="H53" s="31"/>
      <c r="I53" s="31"/>
      <c r="J53" s="17"/>
      <c r="K53" s="12"/>
    </row>
    <row r="54" spans="1:11" ht="19.149999999999999" customHeight="1" x14ac:dyDescent="0.25">
      <c r="A54" s="139"/>
      <c r="B54" s="57">
        <v>5</v>
      </c>
      <c r="C54" s="61" t="s">
        <v>81</v>
      </c>
      <c r="D54" s="42">
        <v>4</v>
      </c>
      <c r="E54" s="31">
        <v>3</v>
      </c>
      <c r="F54" s="31"/>
      <c r="G54" s="31"/>
      <c r="H54" s="31"/>
      <c r="I54" s="31"/>
      <c r="J54" s="17"/>
      <c r="K54" s="12"/>
    </row>
    <row r="55" spans="1:11" ht="19.149999999999999" customHeight="1" x14ac:dyDescent="0.25">
      <c r="A55" s="139"/>
      <c r="B55" s="57">
        <v>6</v>
      </c>
      <c r="C55" s="61" t="s">
        <v>82</v>
      </c>
      <c r="D55" s="42">
        <v>4</v>
      </c>
      <c r="E55" s="31">
        <v>3</v>
      </c>
      <c r="F55" s="40"/>
      <c r="G55" s="40"/>
      <c r="H55" s="40"/>
      <c r="I55" s="40"/>
      <c r="J55" s="17"/>
      <c r="K55" s="12"/>
    </row>
    <row r="56" spans="1:11" ht="19.149999999999999" customHeight="1" thickBot="1" x14ac:dyDescent="0.3">
      <c r="A56" s="140"/>
      <c r="B56" s="59">
        <v>7</v>
      </c>
      <c r="C56" s="63" t="s">
        <v>91</v>
      </c>
      <c r="D56" s="90">
        <v>4</v>
      </c>
      <c r="E56" s="43">
        <v>3</v>
      </c>
      <c r="F56" s="35"/>
      <c r="G56" s="35"/>
      <c r="H56" s="35"/>
      <c r="I56" s="35">
        <f>SUM(E50+E51+E52+E53+E54+E55+E56)</f>
        <v>23</v>
      </c>
      <c r="J56" s="17"/>
      <c r="K56" s="12"/>
    </row>
    <row r="57" spans="1:11" ht="19.149999999999999" customHeight="1" x14ac:dyDescent="0.25">
      <c r="A57" s="142" t="s">
        <v>10</v>
      </c>
      <c r="B57" s="88">
        <v>1</v>
      </c>
      <c r="C57" s="84" t="s">
        <v>66</v>
      </c>
      <c r="D57" s="89">
        <v>4</v>
      </c>
      <c r="E57" s="38">
        <v>3</v>
      </c>
      <c r="F57" s="38"/>
      <c r="G57" s="38"/>
      <c r="H57" s="38"/>
      <c r="I57" s="38"/>
      <c r="J57" s="17"/>
      <c r="K57" s="12"/>
    </row>
    <row r="58" spans="1:11" ht="19.149999999999999" customHeight="1" x14ac:dyDescent="0.25">
      <c r="A58" s="143"/>
      <c r="B58" s="57">
        <v>2</v>
      </c>
      <c r="C58" s="61" t="s">
        <v>38</v>
      </c>
      <c r="D58" s="42">
        <v>10</v>
      </c>
      <c r="E58" s="31">
        <v>7</v>
      </c>
      <c r="F58" s="31"/>
      <c r="G58" s="31"/>
      <c r="H58" s="31"/>
      <c r="I58" s="31"/>
      <c r="J58" s="17"/>
      <c r="K58" s="12"/>
    </row>
    <row r="59" spans="1:11" ht="19.149999999999999" customHeight="1" x14ac:dyDescent="0.25">
      <c r="A59" s="143"/>
      <c r="B59" s="57">
        <v>3</v>
      </c>
      <c r="C59" s="61" t="s">
        <v>83</v>
      </c>
      <c r="D59" s="42">
        <v>4</v>
      </c>
      <c r="E59" s="31">
        <v>3</v>
      </c>
      <c r="F59" s="31"/>
      <c r="G59" s="31"/>
      <c r="H59" s="31"/>
      <c r="I59" s="31"/>
      <c r="J59" s="17"/>
      <c r="K59" s="12"/>
    </row>
    <row r="60" spans="1:11" ht="19.149999999999999" customHeight="1" x14ac:dyDescent="0.25">
      <c r="A60" s="143"/>
      <c r="B60" s="57">
        <v>4</v>
      </c>
      <c r="C60" s="61" t="s">
        <v>123</v>
      </c>
      <c r="D60" s="42">
        <v>4</v>
      </c>
      <c r="E60" s="31">
        <v>3</v>
      </c>
      <c r="F60" s="31"/>
      <c r="G60" s="31"/>
      <c r="H60" s="31"/>
      <c r="I60" s="31"/>
      <c r="J60" s="17"/>
      <c r="K60" s="12"/>
    </row>
    <row r="61" spans="1:11" ht="19.149999999999999" customHeight="1" x14ac:dyDescent="0.25">
      <c r="A61" s="143"/>
      <c r="B61" s="57">
        <v>5</v>
      </c>
      <c r="C61" s="61" t="s">
        <v>84</v>
      </c>
      <c r="D61" s="42">
        <v>4</v>
      </c>
      <c r="E61" s="31">
        <v>3</v>
      </c>
      <c r="F61" s="40"/>
      <c r="G61" s="40"/>
      <c r="H61" s="40"/>
      <c r="I61" s="40"/>
      <c r="J61" s="17"/>
      <c r="K61" s="12"/>
    </row>
    <row r="62" spans="1:11" ht="19.149999999999999" customHeight="1" thickBot="1" x14ac:dyDescent="0.3">
      <c r="A62" s="144"/>
      <c r="B62" s="59">
        <v>6</v>
      </c>
      <c r="C62" s="63" t="s">
        <v>87</v>
      </c>
      <c r="D62" s="90">
        <v>4</v>
      </c>
      <c r="E62" s="43">
        <v>3</v>
      </c>
      <c r="F62" s="35"/>
      <c r="G62" s="35"/>
      <c r="H62" s="35"/>
      <c r="I62" s="35">
        <f>SUM(E57+E58+E59+E60+E61+E62)</f>
        <v>22</v>
      </c>
      <c r="J62" s="17"/>
      <c r="K62" s="12"/>
    </row>
    <row r="63" spans="1:11" ht="19.149999999999999" customHeight="1" x14ac:dyDescent="0.25">
      <c r="A63" s="145" t="s">
        <v>11</v>
      </c>
      <c r="B63" s="88">
        <v>1</v>
      </c>
      <c r="C63" s="64" t="s">
        <v>39</v>
      </c>
      <c r="D63" s="91">
        <v>12</v>
      </c>
      <c r="E63" s="83">
        <v>8</v>
      </c>
      <c r="F63" s="83"/>
      <c r="G63" s="83"/>
      <c r="H63" s="83"/>
      <c r="I63" s="83"/>
      <c r="J63" s="17"/>
      <c r="K63" s="12"/>
    </row>
    <row r="64" spans="1:11" ht="19.149999999999999" customHeight="1" x14ac:dyDescent="0.25">
      <c r="A64" s="146"/>
      <c r="B64" s="57">
        <v>2</v>
      </c>
      <c r="C64" s="61" t="s">
        <v>85</v>
      </c>
      <c r="D64" s="42">
        <v>4</v>
      </c>
      <c r="E64" s="31">
        <v>3</v>
      </c>
      <c r="F64" s="31"/>
      <c r="G64" s="31"/>
      <c r="H64" s="31"/>
      <c r="I64" s="31"/>
      <c r="J64" s="17"/>
      <c r="K64" s="12"/>
    </row>
    <row r="65" spans="1:11" ht="19.149999999999999" customHeight="1" x14ac:dyDescent="0.25">
      <c r="A65" s="146"/>
      <c r="B65" s="57">
        <v>3</v>
      </c>
      <c r="C65" s="61" t="s">
        <v>171</v>
      </c>
      <c r="D65" s="42">
        <v>4</v>
      </c>
      <c r="E65" s="31">
        <v>3</v>
      </c>
      <c r="F65" s="31"/>
      <c r="G65" s="31"/>
      <c r="H65" s="31"/>
      <c r="I65" s="31"/>
      <c r="J65" s="17"/>
      <c r="K65" s="12"/>
    </row>
    <row r="66" spans="1:11" ht="19.149999999999999" customHeight="1" x14ac:dyDescent="0.25">
      <c r="A66" s="146"/>
      <c r="B66" s="57">
        <v>4</v>
      </c>
      <c r="C66" s="61" t="s">
        <v>86</v>
      </c>
      <c r="D66" s="32">
        <v>6</v>
      </c>
      <c r="E66" s="31">
        <v>5</v>
      </c>
      <c r="F66" s="40"/>
      <c r="G66" s="40"/>
      <c r="H66" s="40"/>
      <c r="I66" s="40"/>
      <c r="J66" s="17"/>
    </row>
    <row r="67" spans="1:11" ht="19.149999999999999" customHeight="1" thickBot="1" x14ac:dyDescent="0.3">
      <c r="A67" s="147"/>
      <c r="B67" s="59">
        <v>5</v>
      </c>
      <c r="C67" s="64" t="s">
        <v>88</v>
      </c>
      <c r="D67" s="90">
        <v>4</v>
      </c>
      <c r="E67" s="43">
        <v>3</v>
      </c>
      <c r="F67" s="35"/>
      <c r="G67" s="35"/>
      <c r="H67" s="35"/>
      <c r="I67" s="35">
        <f>SUM(E63+E64+E65+E66+E67)</f>
        <v>22</v>
      </c>
      <c r="J67" s="17"/>
      <c r="K67" s="12"/>
    </row>
    <row r="68" spans="1:11" ht="19.149999999999999" customHeight="1" x14ac:dyDescent="0.25">
      <c r="A68" s="148" t="s">
        <v>12</v>
      </c>
      <c r="B68" s="60">
        <v>1</v>
      </c>
      <c r="C68" s="84" t="s">
        <v>40</v>
      </c>
      <c r="D68" s="91">
        <v>26</v>
      </c>
      <c r="E68" s="83">
        <v>15</v>
      </c>
      <c r="F68" s="83"/>
      <c r="G68" s="83"/>
      <c r="H68" s="38"/>
      <c r="I68" s="38"/>
      <c r="J68" s="17"/>
      <c r="K68" s="12"/>
    </row>
    <row r="69" spans="1:11" ht="19.149999999999999" customHeight="1" thickBot="1" x14ac:dyDescent="0.3">
      <c r="A69" s="149"/>
      <c r="B69" s="59">
        <v>2</v>
      </c>
      <c r="C69" s="63" t="s">
        <v>164</v>
      </c>
      <c r="D69" s="87">
        <v>4</v>
      </c>
      <c r="E69" s="35">
        <v>3</v>
      </c>
      <c r="F69" s="35"/>
      <c r="G69" s="35"/>
      <c r="H69" s="35"/>
      <c r="I69" s="35">
        <f>SUM(E68+E69)</f>
        <v>18</v>
      </c>
      <c r="J69" s="17"/>
      <c r="K69" s="12"/>
    </row>
    <row r="70" spans="1:11" ht="19.149999999999999" customHeight="1" x14ac:dyDescent="0.25">
      <c r="A70" s="150" t="s">
        <v>13</v>
      </c>
      <c r="B70" s="88">
        <v>1</v>
      </c>
      <c r="C70" s="84" t="s">
        <v>41</v>
      </c>
      <c r="D70" s="91">
        <v>26</v>
      </c>
      <c r="E70" s="83">
        <v>15</v>
      </c>
      <c r="F70" s="83"/>
      <c r="G70" s="83"/>
      <c r="H70" s="83"/>
      <c r="I70" s="83"/>
      <c r="J70" s="17"/>
      <c r="K70" s="12"/>
    </row>
    <row r="71" spans="1:11" ht="19.149999999999999" customHeight="1" x14ac:dyDescent="0.25">
      <c r="A71" s="151"/>
      <c r="B71" s="57">
        <v>2</v>
      </c>
      <c r="C71" s="61" t="s">
        <v>89</v>
      </c>
      <c r="D71" s="42">
        <v>4</v>
      </c>
      <c r="E71" s="31">
        <v>3</v>
      </c>
      <c r="F71" s="31"/>
      <c r="G71" s="31"/>
      <c r="H71" s="31"/>
      <c r="I71" s="31">
        <f>SUM(E70+E71)</f>
        <v>18</v>
      </c>
      <c r="J71" s="17"/>
      <c r="K71" s="12"/>
    </row>
    <row r="72" spans="1:11" ht="12.9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4"/>
    </row>
    <row r="73" spans="1:11" x14ac:dyDescent="0.25">
      <c r="A73" s="5"/>
      <c r="B73" s="5"/>
      <c r="C73" s="5"/>
      <c r="D73" s="5"/>
      <c r="E73" s="5"/>
      <c r="F73" s="5"/>
      <c r="G73" s="5"/>
      <c r="H73" s="5"/>
      <c r="I73" s="5"/>
      <c r="J73" s="4"/>
    </row>
    <row r="74" spans="1:11" x14ac:dyDescent="0.25">
      <c r="A74" s="125" t="s">
        <v>118</v>
      </c>
      <c r="B74" s="125"/>
      <c r="C74" s="125"/>
      <c r="D74" s="125"/>
      <c r="E74" s="125"/>
      <c r="F74" s="125"/>
      <c r="G74" s="125"/>
      <c r="H74" s="125"/>
      <c r="I74" s="125"/>
      <c r="J74" s="4"/>
    </row>
    <row r="75" spans="1:11" ht="28.9" customHeight="1" x14ac:dyDescent="0.25">
      <c r="A75" s="5"/>
      <c r="B75" s="5"/>
      <c r="C75" s="5"/>
      <c r="D75" s="126" t="s">
        <v>16</v>
      </c>
      <c r="E75" s="126"/>
      <c r="F75" s="126"/>
      <c r="G75" s="126"/>
      <c r="H75" s="126"/>
      <c r="I75" s="126"/>
      <c r="J75" s="4"/>
    </row>
    <row r="76" spans="1:11" ht="13.5" customHeight="1" x14ac:dyDescent="0.25">
      <c r="A76" s="8"/>
      <c r="B76" s="8"/>
      <c r="C76" s="8"/>
      <c r="D76" s="5"/>
      <c r="E76" s="5"/>
      <c r="F76" s="5"/>
      <c r="G76" s="5"/>
      <c r="H76" s="5"/>
      <c r="I76" s="5"/>
      <c r="J76" s="4"/>
    </row>
    <row r="77" spans="1:11" x14ac:dyDescent="0.25">
      <c r="A77" s="122" t="s">
        <v>124</v>
      </c>
      <c r="B77" s="122"/>
      <c r="C77" s="122"/>
      <c r="D77" s="5"/>
      <c r="E77" s="5"/>
      <c r="F77" s="5"/>
      <c r="G77" s="5"/>
      <c r="H77" s="5"/>
      <c r="I77" s="5"/>
      <c r="J77" s="4"/>
    </row>
    <row r="78" spans="1:1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3"/>
    </row>
    <row r="79" spans="1:1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3"/>
    </row>
    <row r="80" spans="1:1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3"/>
    </row>
    <row r="81" spans="1:1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3"/>
    </row>
    <row r="82" spans="1:1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3"/>
    </row>
    <row r="83" spans="1:1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3"/>
    </row>
    <row r="84" spans="1:1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3"/>
    </row>
    <row r="85" spans="1:1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3"/>
    </row>
    <row r="86" spans="1:1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3"/>
    </row>
    <row r="87" spans="1:1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3"/>
    </row>
    <row r="88" spans="1:1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3"/>
    </row>
    <row r="89" spans="1:1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</row>
    <row r="99" spans="6:6" x14ac:dyDescent="0.25">
      <c r="F99" t="s">
        <v>17</v>
      </c>
    </row>
  </sheetData>
  <mergeCells count="13">
    <mergeCell ref="D75:I75"/>
    <mergeCell ref="A77:C77"/>
    <mergeCell ref="A50:A56"/>
    <mergeCell ref="A57:A62"/>
    <mergeCell ref="A63:A67"/>
    <mergeCell ref="A68:A69"/>
    <mergeCell ref="A70:A71"/>
    <mergeCell ref="A14:A19"/>
    <mergeCell ref="A20:A25"/>
    <mergeCell ref="A26:A32"/>
    <mergeCell ref="A33:A39"/>
    <mergeCell ref="A40:A46"/>
    <mergeCell ref="A74:I74"/>
  </mergeCells>
  <pageMargins left="0.56000000000000005" right="0.12" top="0.35" bottom="0.2" header="0.31496062992125984" footer="0.31496062992125984"/>
  <pageSetup paperSize="9" scale="91" orientation="portrait" horizontalDpi="4294967294" verticalDpi="300" r:id="rId1"/>
  <rowBreaks count="2" manualBreakCount="2">
    <brk id="47" max="8" man="1"/>
    <brk id="86" max="16383" man="1"/>
  </rowBreaks>
  <colBreaks count="1" manualBreakCount="1">
    <brk id="9" max="81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2A9B-DBDD-4805-8EF1-6CF226406AC9}">
  <dimension ref="A1:K98"/>
  <sheetViews>
    <sheetView topLeftCell="A46" zoomScale="90" zoomScaleNormal="90" workbookViewId="0">
      <selection activeCell="L57" sqref="L57"/>
    </sheetView>
  </sheetViews>
  <sheetFormatPr baseColWidth="10" defaultRowHeight="15" x14ac:dyDescent="0.25"/>
  <cols>
    <col min="1" max="2" width="3.42578125" customWidth="1"/>
    <col min="3" max="3" width="46.85546875" customWidth="1"/>
    <col min="4" max="4" width="6.140625" customWidth="1"/>
    <col min="5" max="5" width="5.42578125" customWidth="1"/>
    <col min="6" max="6" width="7" customWidth="1"/>
    <col min="7" max="7" width="6.85546875" customWidth="1"/>
    <col min="8" max="8" width="14.42578125" customWidth="1"/>
    <col min="9" max="9" width="7" customWidth="1"/>
  </cols>
  <sheetData>
    <row r="1" spans="1:10" x14ac:dyDescent="0.25">
      <c r="A1" s="4"/>
      <c r="B1" s="4"/>
      <c r="C1" s="4"/>
      <c r="D1" s="4"/>
      <c r="E1" s="4"/>
      <c r="F1" s="4"/>
      <c r="G1" s="4"/>
      <c r="H1" s="4"/>
      <c r="I1" s="4"/>
      <c r="J1" s="4"/>
    </row>
    <row r="2" spans="1:10" x14ac:dyDescent="0.25">
      <c r="A2" s="4"/>
      <c r="B2" s="4"/>
      <c r="C2" s="4"/>
      <c r="D2" s="4"/>
      <c r="E2" s="4"/>
      <c r="F2" s="4"/>
      <c r="G2" s="4"/>
      <c r="H2" s="4"/>
      <c r="I2" s="4"/>
      <c r="J2" s="4"/>
    </row>
    <row r="3" spans="1:10" x14ac:dyDescent="0.25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18" customHeight="1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 ht="9" customHeight="1" x14ac:dyDescent="0.25">
      <c r="A5" s="4"/>
      <c r="B5" s="4"/>
      <c r="C5" s="4"/>
      <c r="D5" s="4"/>
      <c r="E5" s="4"/>
      <c r="F5" s="4"/>
      <c r="G5" s="4"/>
      <c r="H5" s="4"/>
      <c r="I5" s="4"/>
      <c r="J5" s="4"/>
    </row>
    <row r="6" spans="1:10" x14ac:dyDescent="0.25">
      <c r="A6" s="4"/>
      <c r="B6" s="4"/>
      <c r="C6" s="4"/>
      <c r="D6" s="4"/>
      <c r="E6" s="4"/>
      <c r="F6" s="4"/>
      <c r="G6" s="4"/>
      <c r="H6" s="4"/>
      <c r="I6" s="4"/>
      <c r="J6" s="4"/>
    </row>
    <row r="7" spans="1:10" ht="8.4499999999999993" customHeight="1" x14ac:dyDescent="0.25">
      <c r="A7" s="4"/>
      <c r="B7" s="4"/>
      <c r="C7" s="4"/>
      <c r="D7" s="4"/>
      <c r="E7" s="4"/>
      <c r="F7" s="4"/>
      <c r="G7" s="4"/>
      <c r="H7" s="4"/>
      <c r="I7" s="4"/>
      <c r="J7" s="4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ht="42.6" customHeight="1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ht="27" customHeight="1" x14ac:dyDescent="0.25">
      <c r="A13" s="19" t="s">
        <v>116</v>
      </c>
      <c r="B13" s="19" t="s">
        <v>117</v>
      </c>
      <c r="C13" s="19" t="s">
        <v>0</v>
      </c>
      <c r="D13" s="19" t="s">
        <v>18</v>
      </c>
      <c r="E13" s="19" t="s">
        <v>1</v>
      </c>
      <c r="F13" s="19" t="s">
        <v>2</v>
      </c>
      <c r="G13" s="19" t="s">
        <v>3</v>
      </c>
      <c r="H13" s="19" t="s">
        <v>4</v>
      </c>
      <c r="I13" s="19" t="s">
        <v>5</v>
      </c>
      <c r="J13" s="4"/>
    </row>
    <row r="14" spans="1:10" ht="19.149999999999999" customHeight="1" x14ac:dyDescent="0.25">
      <c r="A14" s="138" t="s">
        <v>6</v>
      </c>
      <c r="B14" s="60">
        <v>1</v>
      </c>
      <c r="C14" s="64" t="s">
        <v>65</v>
      </c>
      <c r="D14" s="89">
        <v>4</v>
      </c>
      <c r="E14" s="38">
        <v>3</v>
      </c>
      <c r="F14" s="38"/>
      <c r="G14" s="38"/>
      <c r="H14" s="38"/>
      <c r="I14" s="38"/>
      <c r="J14" s="17"/>
    </row>
    <row r="15" spans="1:10" ht="19.149999999999999" customHeight="1" x14ac:dyDescent="0.25">
      <c r="A15" s="139"/>
      <c r="B15" s="57">
        <v>2</v>
      </c>
      <c r="C15" s="61" t="s">
        <v>26</v>
      </c>
      <c r="D15" s="42">
        <v>4</v>
      </c>
      <c r="E15" s="31">
        <v>3</v>
      </c>
      <c r="F15" s="31"/>
      <c r="G15" s="31"/>
      <c r="H15" s="31"/>
      <c r="I15" s="31"/>
      <c r="J15" s="17"/>
    </row>
    <row r="16" spans="1:10" ht="19.149999999999999" customHeight="1" x14ac:dyDescent="0.25">
      <c r="A16" s="139"/>
      <c r="B16" s="57">
        <v>3</v>
      </c>
      <c r="C16" s="61" t="s">
        <v>30</v>
      </c>
      <c r="D16" s="42">
        <v>4</v>
      </c>
      <c r="E16" s="31">
        <v>3</v>
      </c>
      <c r="F16" s="31"/>
      <c r="G16" s="31"/>
      <c r="H16" s="31"/>
      <c r="I16" s="31"/>
      <c r="J16" s="17"/>
    </row>
    <row r="17" spans="1:10" ht="19.149999999999999" customHeight="1" x14ac:dyDescent="0.25">
      <c r="A17" s="139"/>
      <c r="B17" s="57">
        <v>4</v>
      </c>
      <c r="C17" s="61" t="s">
        <v>28</v>
      </c>
      <c r="D17" s="42">
        <v>6</v>
      </c>
      <c r="E17" s="31">
        <v>5</v>
      </c>
      <c r="F17" s="31"/>
      <c r="G17" s="31"/>
      <c r="H17" s="31"/>
      <c r="I17" s="31"/>
      <c r="J17" s="17"/>
    </row>
    <row r="18" spans="1:10" ht="19.149999999999999" customHeight="1" x14ac:dyDescent="0.25">
      <c r="A18" s="139"/>
      <c r="B18" s="57">
        <v>5</v>
      </c>
      <c r="C18" s="61" t="s">
        <v>96</v>
      </c>
      <c r="D18" s="42">
        <v>6</v>
      </c>
      <c r="E18" s="31">
        <v>5</v>
      </c>
      <c r="F18" s="31"/>
      <c r="G18" s="31"/>
      <c r="H18" s="31"/>
      <c r="I18" s="31"/>
      <c r="J18" s="17"/>
    </row>
    <row r="19" spans="1:10" ht="19.149999999999999" customHeight="1" thickBot="1" x14ac:dyDescent="0.3">
      <c r="A19" s="140"/>
      <c r="B19" s="57">
        <v>6</v>
      </c>
      <c r="C19" s="63" t="s">
        <v>69</v>
      </c>
      <c r="D19" s="87">
        <v>6</v>
      </c>
      <c r="E19" s="35">
        <v>5</v>
      </c>
      <c r="F19" s="35"/>
      <c r="G19" s="35"/>
      <c r="H19" s="35"/>
      <c r="I19" s="35">
        <f>SUM(E14+E15+E16+E17+E18+E19)</f>
        <v>24</v>
      </c>
      <c r="J19" s="17"/>
    </row>
    <row r="20" spans="1:10" ht="19.149999999999999" customHeight="1" x14ac:dyDescent="0.25">
      <c r="A20" s="141" t="s">
        <v>121</v>
      </c>
      <c r="B20" s="88">
        <v>1</v>
      </c>
      <c r="C20" s="61" t="s">
        <v>27</v>
      </c>
      <c r="D20" s="89">
        <v>4</v>
      </c>
      <c r="E20" s="38">
        <v>3</v>
      </c>
      <c r="F20" s="38"/>
      <c r="G20" s="38"/>
      <c r="H20" s="38"/>
      <c r="I20" s="38"/>
      <c r="J20" s="17"/>
    </row>
    <row r="21" spans="1:10" ht="19.149999999999999" customHeight="1" x14ac:dyDescent="0.25">
      <c r="A21" s="138"/>
      <c r="B21" s="60">
        <v>2</v>
      </c>
      <c r="C21" s="65" t="s">
        <v>20</v>
      </c>
      <c r="D21" s="89">
        <v>4</v>
      </c>
      <c r="E21" s="38">
        <v>3</v>
      </c>
      <c r="F21" s="38"/>
      <c r="G21" s="38"/>
      <c r="H21" s="38"/>
      <c r="I21" s="38"/>
      <c r="J21" s="17"/>
    </row>
    <row r="22" spans="1:10" ht="19.149999999999999" customHeight="1" x14ac:dyDescent="0.25">
      <c r="A22" s="139"/>
      <c r="B22" s="57">
        <v>3</v>
      </c>
      <c r="C22" s="61" t="s">
        <v>22</v>
      </c>
      <c r="D22" s="89">
        <v>4</v>
      </c>
      <c r="E22" s="38">
        <v>3</v>
      </c>
      <c r="F22" s="31"/>
      <c r="G22" s="31"/>
      <c r="H22" s="31"/>
      <c r="I22" s="31"/>
      <c r="J22" s="17"/>
    </row>
    <row r="23" spans="1:10" ht="19.149999999999999" customHeight="1" x14ac:dyDescent="0.25">
      <c r="A23" s="139"/>
      <c r="B23" s="57">
        <v>4</v>
      </c>
      <c r="C23" s="61" t="s">
        <v>33</v>
      </c>
      <c r="D23" s="42">
        <v>6</v>
      </c>
      <c r="E23" s="31">
        <v>5</v>
      </c>
      <c r="F23" s="31"/>
      <c r="G23" s="31"/>
      <c r="H23" s="31"/>
      <c r="I23" s="31"/>
      <c r="J23" s="17"/>
    </row>
    <row r="24" spans="1:10" ht="19.149999999999999" customHeight="1" x14ac:dyDescent="0.25">
      <c r="A24" s="139"/>
      <c r="B24" s="57">
        <v>5</v>
      </c>
      <c r="C24" s="61" t="s">
        <v>125</v>
      </c>
      <c r="D24" s="42">
        <v>6</v>
      </c>
      <c r="E24" s="31">
        <v>5</v>
      </c>
      <c r="F24" s="31"/>
      <c r="G24" s="31"/>
      <c r="H24" s="31"/>
      <c r="I24" s="31"/>
      <c r="J24" s="17"/>
    </row>
    <row r="25" spans="1:10" ht="19.149999999999999" customHeight="1" thickBot="1" x14ac:dyDescent="0.3">
      <c r="A25" s="140"/>
      <c r="B25" s="59">
        <v>6</v>
      </c>
      <c r="C25" s="63" t="s">
        <v>126</v>
      </c>
      <c r="D25" s="87">
        <v>6</v>
      </c>
      <c r="E25" s="35">
        <v>5</v>
      </c>
      <c r="F25" s="35"/>
      <c r="G25" s="35"/>
      <c r="H25" s="35"/>
      <c r="I25" s="35">
        <f>E20+E21+E22+E23+E24+E25</f>
        <v>24</v>
      </c>
      <c r="J25" s="17"/>
    </row>
    <row r="26" spans="1:10" ht="19.149999999999999" customHeight="1" x14ac:dyDescent="0.25">
      <c r="A26" s="141" t="s">
        <v>122</v>
      </c>
      <c r="B26" s="88">
        <v>1</v>
      </c>
      <c r="C26" s="69" t="s">
        <v>23</v>
      </c>
      <c r="D26" s="89">
        <v>4</v>
      </c>
      <c r="E26" s="38">
        <v>3</v>
      </c>
      <c r="F26" s="38"/>
      <c r="G26" s="38"/>
      <c r="H26" s="38"/>
      <c r="I26" s="38"/>
      <c r="J26" s="17"/>
    </row>
    <row r="27" spans="1:10" ht="19.149999999999999" customHeight="1" x14ac:dyDescent="0.25">
      <c r="A27" s="139"/>
      <c r="B27" s="57">
        <v>2</v>
      </c>
      <c r="C27" s="61" t="s">
        <v>99</v>
      </c>
      <c r="D27" s="42">
        <v>4</v>
      </c>
      <c r="E27" s="31">
        <v>3</v>
      </c>
      <c r="F27" s="31"/>
      <c r="G27" s="31"/>
      <c r="H27" s="31"/>
      <c r="I27" s="31"/>
      <c r="J27" s="17"/>
    </row>
    <row r="28" spans="1:10" ht="19.149999999999999" customHeight="1" x14ac:dyDescent="0.25">
      <c r="A28" s="139"/>
      <c r="B28" s="57">
        <v>3</v>
      </c>
      <c r="C28" s="61" t="s">
        <v>34</v>
      </c>
      <c r="D28" s="42">
        <v>6</v>
      </c>
      <c r="E28" s="31">
        <v>5</v>
      </c>
      <c r="F28" s="31"/>
      <c r="G28" s="31"/>
      <c r="H28" s="31"/>
      <c r="I28" s="31"/>
      <c r="J28" s="17"/>
    </row>
    <row r="29" spans="1:10" ht="19.149999999999999" customHeight="1" x14ac:dyDescent="0.25">
      <c r="A29" s="139"/>
      <c r="B29" s="57">
        <v>4</v>
      </c>
      <c r="C29" s="61" t="s">
        <v>165</v>
      </c>
      <c r="D29" s="42">
        <v>4</v>
      </c>
      <c r="E29" s="31">
        <v>3</v>
      </c>
      <c r="F29" s="31"/>
      <c r="G29" s="31"/>
      <c r="H29" s="31"/>
      <c r="I29" s="31"/>
      <c r="J29" s="17"/>
    </row>
    <row r="30" spans="1:10" ht="19.149999999999999" customHeight="1" x14ac:dyDescent="0.25">
      <c r="A30" s="139"/>
      <c r="B30" s="57">
        <v>5</v>
      </c>
      <c r="C30" s="61" t="s">
        <v>127</v>
      </c>
      <c r="D30" s="42">
        <v>4</v>
      </c>
      <c r="E30" s="31">
        <v>3</v>
      </c>
      <c r="F30" s="31"/>
      <c r="G30" s="31"/>
      <c r="H30" s="31"/>
      <c r="I30" s="31"/>
      <c r="J30" s="17"/>
    </row>
    <row r="31" spans="1:10" ht="19.149999999999999" customHeight="1" x14ac:dyDescent="0.25">
      <c r="A31" s="139"/>
      <c r="B31" s="57">
        <v>6</v>
      </c>
      <c r="C31" s="61" t="s">
        <v>128</v>
      </c>
      <c r="D31" s="42">
        <v>4</v>
      </c>
      <c r="E31" s="31">
        <v>3</v>
      </c>
      <c r="F31" s="31"/>
      <c r="G31" s="40"/>
      <c r="H31" s="40"/>
      <c r="I31" s="40"/>
      <c r="J31" s="17"/>
    </row>
    <row r="32" spans="1:10" ht="19.149999999999999" customHeight="1" thickBot="1" x14ac:dyDescent="0.3">
      <c r="A32" s="140"/>
      <c r="B32" s="59">
        <v>7</v>
      </c>
      <c r="C32" s="63" t="s">
        <v>172</v>
      </c>
      <c r="D32" s="90">
        <v>4</v>
      </c>
      <c r="E32" s="43">
        <v>3</v>
      </c>
      <c r="F32" s="43"/>
      <c r="G32" s="35"/>
      <c r="H32" s="35"/>
      <c r="I32" s="35">
        <f>SUM(E26+E27+E28+E29+E30+E31+E32)</f>
        <v>23</v>
      </c>
      <c r="J32" s="17"/>
    </row>
    <row r="33" spans="1:11" ht="19.149999999999999" customHeight="1" x14ac:dyDescent="0.25">
      <c r="A33" s="141" t="s">
        <v>14</v>
      </c>
      <c r="B33" s="88">
        <v>1</v>
      </c>
      <c r="C33" s="61" t="s">
        <v>100</v>
      </c>
      <c r="D33" s="89">
        <v>4</v>
      </c>
      <c r="E33" s="38">
        <v>3</v>
      </c>
      <c r="F33" s="38"/>
      <c r="G33" s="38"/>
      <c r="H33" s="38"/>
      <c r="I33" s="38"/>
      <c r="J33" s="17"/>
    </row>
    <row r="34" spans="1:11" ht="19.149999999999999" customHeight="1" x14ac:dyDescent="0.25">
      <c r="A34" s="138"/>
      <c r="B34" s="60">
        <v>2</v>
      </c>
      <c r="C34" s="65" t="s">
        <v>31</v>
      </c>
      <c r="D34" s="89">
        <v>4</v>
      </c>
      <c r="E34" s="38">
        <v>3</v>
      </c>
      <c r="F34" s="38"/>
      <c r="G34" s="38"/>
      <c r="H34" s="38"/>
      <c r="I34" s="38"/>
      <c r="J34" s="17"/>
    </row>
    <row r="35" spans="1:11" ht="19.149999999999999" customHeight="1" x14ac:dyDescent="0.25">
      <c r="A35" s="139"/>
      <c r="B35" s="57">
        <v>3</v>
      </c>
      <c r="C35" s="61" t="s">
        <v>35</v>
      </c>
      <c r="D35" s="42">
        <v>6</v>
      </c>
      <c r="E35" s="31">
        <v>5</v>
      </c>
      <c r="F35" s="31"/>
      <c r="G35" s="31"/>
      <c r="H35" s="31"/>
      <c r="I35" s="31"/>
      <c r="J35" s="17"/>
      <c r="K35" s="11"/>
    </row>
    <row r="36" spans="1:11" ht="19.149999999999999" customHeight="1" x14ac:dyDescent="0.25">
      <c r="A36" s="139"/>
      <c r="B36" s="57">
        <v>4</v>
      </c>
      <c r="C36" s="61" t="s">
        <v>71</v>
      </c>
      <c r="D36" s="42">
        <v>4</v>
      </c>
      <c r="E36" s="31">
        <v>3</v>
      </c>
      <c r="F36" s="31"/>
      <c r="G36" s="31"/>
      <c r="H36" s="31"/>
      <c r="I36" s="31"/>
      <c r="J36" s="17"/>
    </row>
    <row r="37" spans="1:11" ht="19.149999999999999" customHeight="1" x14ac:dyDescent="0.25">
      <c r="A37" s="139"/>
      <c r="B37" s="57">
        <v>5</v>
      </c>
      <c r="C37" s="61" t="s">
        <v>129</v>
      </c>
      <c r="D37" s="42">
        <v>4</v>
      </c>
      <c r="E37" s="31">
        <v>3</v>
      </c>
      <c r="F37" s="31"/>
      <c r="G37" s="31"/>
      <c r="H37" s="31"/>
      <c r="I37" s="31"/>
      <c r="J37" s="17"/>
    </row>
    <row r="38" spans="1:11" ht="19.149999999999999" customHeight="1" x14ac:dyDescent="0.25">
      <c r="A38" s="139"/>
      <c r="B38" s="57">
        <v>6</v>
      </c>
      <c r="C38" s="61" t="s">
        <v>173</v>
      </c>
      <c r="D38" s="42">
        <v>4</v>
      </c>
      <c r="E38" s="31">
        <v>3</v>
      </c>
      <c r="F38" s="31"/>
      <c r="G38" s="31"/>
      <c r="H38" s="40"/>
      <c r="I38" s="40"/>
      <c r="J38" s="17"/>
    </row>
    <row r="39" spans="1:11" ht="19.149999999999999" customHeight="1" thickBot="1" x14ac:dyDescent="0.3">
      <c r="A39" s="140"/>
      <c r="B39" s="59">
        <v>7</v>
      </c>
      <c r="C39" s="64" t="s">
        <v>130</v>
      </c>
      <c r="D39" s="90">
        <v>4</v>
      </c>
      <c r="E39" s="43">
        <v>3</v>
      </c>
      <c r="F39" s="43"/>
      <c r="G39" s="43"/>
      <c r="H39" s="35"/>
      <c r="I39" s="35">
        <f>SUM(E34+E33+E35+E36+E37+E38+E39)</f>
        <v>23</v>
      </c>
      <c r="J39" s="17"/>
    </row>
    <row r="40" spans="1:11" ht="19.149999999999999" customHeight="1" x14ac:dyDescent="0.25">
      <c r="A40" s="154" t="s">
        <v>8</v>
      </c>
      <c r="B40" s="88">
        <v>1</v>
      </c>
      <c r="C40" s="84" t="s">
        <v>21</v>
      </c>
      <c r="D40" s="91">
        <v>4</v>
      </c>
      <c r="E40" s="83">
        <v>3</v>
      </c>
      <c r="F40" s="83"/>
      <c r="G40" s="83"/>
      <c r="H40" s="83"/>
      <c r="I40" s="83"/>
      <c r="J40" s="17"/>
    </row>
    <row r="41" spans="1:11" ht="19.149999999999999" customHeight="1" x14ac:dyDescent="0.25">
      <c r="A41" s="155"/>
      <c r="B41" s="57">
        <v>2</v>
      </c>
      <c r="C41" s="61" t="s">
        <v>36</v>
      </c>
      <c r="D41" s="42">
        <v>6</v>
      </c>
      <c r="E41" s="31">
        <v>5</v>
      </c>
      <c r="F41" s="31"/>
      <c r="G41" s="31"/>
      <c r="H41" s="31"/>
      <c r="I41" s="31"/>
      <c r="J41" s="17"/>
    </row>
    <row r="42" spans="1:11" ht="19.149999999999999" customHeight="1" x14ac:dyDescent="0.25">
      <c r="A42" s="155"/>
      <c r="B42" s="57">
        <v>3</v>
      </c>
      <c r="C42" s="61" t="s">
        <v>78</v>
      </c>
      <c r="D42" s="42">
        <v>4</v>
      </c>
      <c r="E42" s="31">
        <v>3</v>
      </c>
      <c r="F42" s="31"/>
      <c r="G42" s="31"/>
      <c r="H42" s="31"/>
      <c r="I42" s="31"/>
      <c r="J42" s="17"/>
    </row>
    <row r="43" spans="1:11" ht="19.149999999999999" customHeight="1" x14ac:dyDescent="0.25">
      <c r="A43" s="155"/>
      <c r="B43" s="57">
        <v>4</v>
      </c>
      <c r="C43" s="61" t="s">
        <v>131</v>
      </c>
      <c r="D43" s="42">
        <v>4</v>
      </c>
      <c r="E43" s="31">
        <v>3</v>
      </c>
      <c r="F43" s="31"/>
      <c r="G43" s="31"/>
      <c r="H43" s="31"/>
      <c r="I43" s="31"/>
      <c r="J43" s="17"/>
    </row>
    <row r="44" spans="1:11" ht="19.149999999999999" customHeight="1" x14ac:dyDescent="0.25">
      <c r="A44" s="155"/>
      <c r="B44" s="57">
        <v>5</v>
      </c>
      <c r="C44" s="61" t="s">
        <v>133</v>
      </c>
      <c r="D44" s="42">
        <v>4</v>
      </c>
      <c r="E44" s="31">
        <v>3</v>
      </c>
      <c r="F44" s="31"/>
      <c r="G44" s="31"/>
      <c r="H44" s="31"/>
      <c r="I44" s="31"/>
      <c r="J44" s="17"/>
    </row>
    <row r="45" spans="1:11" ht="19.149999999999999" customHeight="1" x14ac:dyDescent="0.25">
      <c r="A45" s="155"/>
      <c r="B45" s="57">
        <v>6</v>
      </c>
      <c r="C45" s="61" t="s">
        <v>132</v>
      </c>
      <c r="D45" s="32">
        <v>4</v>
      </c>
      <c r="E45" s="31">
        <v>3</v>
      </c>
      <c r="F45" s="31"/>
      <c r="G45" s="31"/>
      <c r="H45" s="31"/>
      <c r="I45" s="31"/>
      <c r="J45" s="17"/>
    </row>
    <row r="46" spans="1:11" ht="19.149999999999999" customHeight="1" thickBot="1" x14ac:dyDescent="0.3">
      <c r="A46" s="138"/>
      <c r="B46" s="96">
        <v>7</v>
      </c>
      <c r="C46" s="61" t="s">
        <v>90</v>
      </c>
      <c r="D46" s="32">
        <v>4</v>
      </c>
      <c r="E46" s="31">
        <v>3</v>
      </c>
      <c r="F46" s="97"/>
      <c r="G46" s="97"/>
      <c r="H46" s="97"/>
      <c r="I46" s="35">
        <f>SUM(E40+E41+E42+E43+E44+E45+E46)</f>
        <v>23</v>
      </c>
      <c r="J46" s="4"/>
    </row>
    <row r="47" spans="1:11" ht="18" customHeight="1" x14ac:dyDescent="0.25">
      <c r="A47" s="14"/>
      <c r="B47" s="1"/>
      <c r="C47" s="15"/>
      <c r="D47" s="16"/>
      <c r="E47" s="94"/>
      <c r="F47" s="95"/>
      <c r="G47" s="95"/>
      <c r="H47" s="95"/>
      <c r="I47" s="95"/>
      <c r="J47" s="4"/>
    </row>
    <row r="48" spans="1:11" ht="31.9" customHeight="1" x14ac:dyDescent="0.25">
      <c r="A48" s="19" t="s">
        <v>116</v>
      </c>
      <c r="B48" s="19" t="s">
        <v>117</v>
      </c>
      <c r="C48" s="19" t="s">
        <v>0</v>
      </c>
      <c r="D48" s="92" t="s">
        <v>18</v>
      </c>
      <c r="E48" s="19" t="s">
        <v>1</v>
      </c>
      <c r="F48" s="19" t="s">
        <v>2</v>
      </c>
      <c r="G48" s="19" t="s">
        <v>3</v>
      </c>
      <c r="H48" s="19" t="s">
        <v>4</v>
      </c>
      <c r="I48" s="19" t="s">
        <v>5</v>
      </c>
      <c r="J48" s="4"/>
    </row>
    <row r="49" spans="1:11" ht="19.149999999999999" customHeight="1" x14ac:dyDescent="0.25">
      <c r="A49" s="139" t="s">
        <v>9</v>
      </c>
      <c r="B49" s="57">
        <v>1</v>
      </c>
      <c r="C49" s="61" t="s">
        <v>67</v>
      </c>
      <c r="D49" s="42">
        <v>4</v>
      </c>
      <c r="E49" s="31">
        <v>3</v>
      </c>
      <c r="F49" s="31"/>
      <c r="G49" s="31"/>
      <c r="H49" s="31"/>
      <c r="I49" s="31"/>
      <c r="J49" s="17"/>
      <c r="K49" s="12"/>
    </row>
    <row r="50" spans="1:11" ht="19.149999999999999" customHeight="1" x14ac:dyDescent="0.25">
      <c r="A50" s="139"/>
      <c r="B50" s="57">
        <v>2</v>
      </c>
      <c r="C50" s="61" t="s">
        <v>37</v>
      </c>
      <c r="D50" s="42">
        <v>6</v>
      </c>
      <c r="E50" s="31">
        <v>5</v>
      </c>
      <c r="F50" s="31"/>
      <c r="G50" s="31"/>
      <c r="H50" s="31"/>
      <c r="I50" s="31"/>
      <c r="J50" s="17"/>
      <c r="K50" s="12"/>
    </row>
    <row r="51" spans="1:11" ht="19.149999999999999" customHeight="1" x14ac:dyDescent="0.25">
      <c r="A51" s="139"/>
      <c r="B51" s="57">
        <v>3</v>
      </c>
      <c r="C51" s="61" t="s">
        <v>72</v>
      </c>
      <c r="D51" s="42">
        <v>4</v>
      </c>
      <c r="E51" s="31">
        <v>3</v>
      </c>
      <c r="F51" s="31"/>
      <c r="G51" s="31"/>
      <c r="H51" s="31"/>
      <c r="I51" s="31"/>
      <c r="J51" s="17"/>
      <c r="K51" s="12"/>
    </row>
    <row r="52" spans="1:11" ht="19.149999999999999" customHeight="1" x14ac:dyDescent="0.25">
      <c r="A52" s="139"/>
      <c r="B52" s="57">
        <v>4</v>
      </c>
      <c r="C52" s="61" t="s">
        <v>134</v>
      </c>
      <c r="D52" s="42">
        <v>4</v>
      </c>
      <c r="E52" s="31">
        <v>3</v>
      </c>
      <c r="F52" s="31"/>
      <c r="G52" s="31"/>
      <c r="H52" s="31"/>
      <c r="I52" s="31"/>
      <c r="J52" s="17"/>
      <c r="K52" s="12"/>
    </row>
    <row r="53" spans="1:11" ht="19.149999999999999" customHeight="1" x14ac:dyDescent="0.25">
      <c r="A53" s="139"/>
      <c r="B53" s="57">
        <v>5</v>
      </c>
      <c r="C53" s="61" t="s">
        <v>166</v>
      </c>
      <c r="D53" s="42">
        <v>4</v>
      </c>
      <c r="E53" s="31">
        <v>3</v>
      </c>
      <c r="F53" s="31"/>
      <c r="G53" s="31"/>
      <c r="H53" s="31"/>
      <c r="I53" s="31"/>
      <c r="J53" s="17"/>
      <c r="K53" s="12"/>
    </row>
    <row r="54" spans="1:11" ht="19.149999999999999" customHeight="1" x14ac:dyDescent="0.25">
      <c r="A54" s="139"/>
      <c r="B54" s="57">
        <v>5</v>
      </c>
      <c r="C54" s="61" t="s">
        <v>135</v>
      </c>
      <c r="D54" s="42">
        <v>4</v>
      </c>
      <c r="E54" s="31">
        <v>3</v>
      </c>
      <c r="F54" s="40"/>
      <c r="G54" s="40"/>
      <c r="H54" s="40"/>
      <c r="I54" s="40"/>
      <c r="J54" s="17"/>
      <c r="K54" s="12"/>
    </row>
    <row r="55" spans="1:11" ht="19.149999999999999" customHeight="1" thickBot="1" x14ac:dyDescent="0.3">
      <c r="A55" s="139"/>
      <c r="B55" s="57">
        <v>6</v>
      </c>
      <c r="C55" s="63" t="s">
        <v>91</v>
      </c>
      <c r="D55" s="36">
        <v>4</v>
      </c>
      <c r="E55" s="35">
        <v>3</v>
      </c>
      <c r="F55" s="35"/>
      <c r="G55" s="35"/>
      <c r="H55" s="35"/>
      <c r="I55" s="35">
        <f>SUM(E49:E55)</f>
        <v>23</v>
      </c>
      <c r="J55" s="17"/>
      <c r="K55" s="12"/>
    </row>
    <row r="56" spans="1:11" ht="19.149999999999999" customHeight="1" x14ac:dyDescent="0.25">
      <c r="A56" s="142" t="s">
        <v>10</v>
      </c>
      <c r="B56" s="88">
        <v>1</v>
      </c>
      <c r="C56" s="84" t="s">
        <v>66</v>
      </c>
      <c r="D56" s="89">
        <v>4</v>
      </c>
      <c r="E56" s="38">
        <v>3</v>
      </c>
      <c r="F56" s="38"/>
      <c r="G56" s="38"/>
      <c r="H56" s="38"/>
      <c r="I56" s="38"/>
      <c r="J56" s="17"/>
      <c r="K56" s="12"/>
    </row>
    <row r="57" spans="1:11" ht="19.149999999999999" customHeight="1" x14ac:dyDescent="0.25">
      <c r="A57" s="143"/>
      <c r="B57" s="57">
        <v>2</v>
      </c>
      <c r="C57" s="61" t="s">
        <v>38</v>
      </c>
      <c r="D57" s="42">
        <v>10</v>
      </c>
      <c r="E57" s="31">
        <v>7</v>
      </c>
      <c r="F57" s="31"/>
      <c r="G57" s="31"/>
      <c r="H57" s="31"/>
      <c r="I57" s="31"/>
      <c r="J57" s="17"/>
      <c r="K57" s="12"/>
    </row>
    <row r="58" spans="1:11" ht="19.149999999999999" customHeight="1" x14ac:dyDescent="0.25">
      <c r="A58" s="143"/>
      <c r="B58" s="57">
        <v>3</v>
      </c>
      <c r="C58" s="61" t="s">
        <v>136</v>
      </c>
      <c r="D58" s="42">
        <v>4</v>
      </c>
      <c r="E58" s="31">
        <v>3</v>
      </c>
      <c r="F58" s="31"/>
      <c r="G58" s="31"/>
      <c r="H58" s="31"/>
      <c r="I58" s="31"/>
      <c r="J58" s="17"/>
      <c r="K58" s="12"/>
    </row>
    <row r="59" spans="1:11" ht="19.149999999999999" customHeight="1" x14ac:dyDescent="0.25">
      <c r="A59" s="143"/>
      <c r="B59" s="57">
        <v>4</v>
      </c>
      <c r="C59" s="61" t="s">
        <v>83</v>
      </c>
      <c r="D59" s="42">
        <v>4</v>
      </c>
      <c r="E59" s="31">
        <v>3</v>
      </c>
      <c r="F59" s="31"/>
      <c r="G59" s="31"/>
      <c r="H59" s="31"/>
      <c r="I59" s="31"/>
      <c r="J59" s="17"/>
      <c r="K59" s="12"/>
    </row>
    <row r="60" spans="1:11" ht="19.149999999999999" customHeight="1" x14ac:dyDescent="0.25">
      <c r="A60" s="152"/>
      <c r="B60" s="57">
        <v>5</v>
      </c>
      <c r="C60" s="61" t="s">
        <v>137</v>
      </c>
      <c r="D60" s="32">
        <v>4</v>
      </c>
      <c r="E60" s="31">
        <v>3</v>
      </c>
      <c r="F60" s="40"/>
      <c r="G60" s="40"/>
      <c r="H60" s="40"/>
      <c r="I60" s="40"/>
      <c r="J60" s="17"/>
      <c r="K60" s="12"/>
    </row>
    <row r="61" spans="1:11" ht="19.149999999999999" customHeight="1" thickBot="1" x14ac:dyDescent="0.3">
      <c r="A61" s="152"/>
      <c r="B61" s="59">
        <v>6</v>
      </c>
      <c r="C61" s="63" t="s">
        <v>92</v>
      </c>
      <c r="D61" s="36">
        <v>4</v>
      </c>
      <c r="E61" s="35">
        <v>3</v>
      </c>
      <c r="F61" s="40"/>
      <c r="G61" s="40"/>
      <c r="H61" s="40"/>
      <c r="I61" s="35">
        <f>SUM(E56:E61)</f>
        <v>22</v>
      </c>
      <c r="J61" s="17"/>
      <c r="K61" s="12"/>
    </row>
    <row r="62" spans="1:11" ht="19.149999999999999" customHeight="1" x14ac:dyDescent="0.25">
      <c r="A62" s="145" t="s">
        <v>11</v>
      </c>
      <c r="B62" s="60">
        <v>1</v>
      </c>
      <c r="C62" s="64" t="s">
        <v>39</v>
      </c>
      <c r="D62" s="89">
        <v>12</v>
      </c>
      <c r="E62" s="38">
        <v>8</v>
      </c>
      <c r="F62" s="83"/>
      <c r="G62" s="83"/>
      <c r="H62" s="83"/>
      <c r="I62" s="83"/>
      <c r="J62" s="17"/>
      <c r="K62" s="12"/>
    </row>
    <row r="63" spans="1:11" ht="19.149999999999999" customHeight="1" x14ac:dyDescent="0.25">
      <c r="A63" s="153"/>
      <c r="B63" s="60">
        <v>2</v>
      </c>
      <c r="C63" s="61" t="s">
        <v>85</v>
      </c>
      <c r="D63" s="42">
        <v>4</v>
      </c>
      <c r="E63" s="31">
        <v>3</v>
      </c>
      <c r="F63" s="38"/>
      <c r="G63" s="38"/>
      <c r="H63" s="38"/>
      <c r="I63" s="38"/>
      <c r="J63" s="17"/>
      <c r="K63" s="12"/>
    </row>
    <row r="64" spans="1:11" ht="19.149999999999999" customHeight="1" x14ac:dyDescent="0.25">
      <c r="A64" s="153"/>
      <c r="B64" s="60">
        <v>3</v>
      </c>
      <c r="C64" s="61" t="s">
        <v>139</v>
      </c>
      <c r="D64" s="42">
        <v>4</v>
      </c>
      <c r="E64" s="31">
        <v>3</v>
      </c>
      <c r="F64" s="38"/>
      <c r="G64" s="38"/>
      <c r="H64" s="38"/>
      <c r="I64" s="38"/>
      <c r="J64" s="17"/>
      <c r="K64" s="12"/>
    </row>
    <row r="65" spans="1:11" ht="19.149999999999999" customHeight="1" x14ac:dyDescent="0.25">
      <c r="A65" s="146"/>
      <c r="B65" s="57">
        <v>4</v>
      </c>
      <c r="C65" s="61" t="s">
        <v>138</v>
      </c>
      <c r="D65" s="42">
        <v>6</v>
      </c>
      <c r="E65" s="31">
        <v>5</v>
      </c>
      <c r="F65" s="31"/>
      <c r="G65" s="31"/>
      <c r="H65" s="31"/>
      <c r="I65" s="31"/>
      <c r="J65" s="17"/>
      <c r="K65" s="12"/>
    </row>
    <row r="66" spans="1:11" ht="19.149999999999999" customHeight="1" thickBot="1" x14ac:dyDescent="0.3">
      <c r="A66" s="146"/>
      <c r="B66" s="59">
        <v>5</v>
      </c>
      <c r="C66" s="66" t="s">
        <v>93</v>
      </c>
      <c r="D66" s="36">
        <v>4</v>
      </c>
      <c r="E66" s="35">
        <v>3</v>
      </c>
      <c r="F66" s="35"/>
      <c r="G66" s="35"/>
      <c r="H66" s="35"/>
      <c r="I66" s="35">
        <f>SUM(E62:E66)</f>
        <v>22</v>
      </c>
      <c r="J66" s="17"/>
    </row>
    <row r="67" spans="1:11" ht="19.149999999999999" customHeight="1" x14ac:dyDescent="0.25">
      <c r="A67" s="148" t="s">
        <v>12</v>
      </c>
      <c r="B67" s="60">
        <v>1</v>
      </c>
      <c r="C67" s="64" t="s">
        <v>40</v>
      </c>
      <c r="D67" s="89">
        <v>26</v>
      </c>
      <c r="E67" s="38">
        <v>15</v>
      </c>
      <c r="F67" s="38"/>
      <c r="G67" s="38"/>
      <c r="H67" s="38"/>
      <c r="I67" s="38"/>
      <c r="J67" s="17"/>
      <c r="K67" s="12"/>
    </row>
    <row r="68" spans="1:11" ht="19.149999999999999" customHeight="1" thickBot="1" x14ac:dyDescent="0.3">
      <c r="A68" s="149"/>
      <c r="B68" s="59">
        <v>2</v>
      </c>
      <c r="C68" s="63" t="s">
        <v>140</v>
      </c>
      <c r="D68" s="87">
        <v>4</v>
      </c>
      <c r="E68" s="35">
        <v>3</v>
      </c>
      <c r="F68" s="35"/>
      <c r="G68" s="35"/>
      <c r="H68" s="35"/>
      <c r="I68" s="35">
        <f>SUM(E67+E68)</f>
        <v>18</v>
      </c>
      <c r="J68" s="17"/>
      <c r="K68" s="12"/>
    </row>
    <row r="69" spans="1:11" ht="19.149999999999999" customHeight="1" x14ac:dyDescent="0.25">
      <c r="A69" s="150" t="s">
        <v>13</v>
      </c>
      <c r="B69" s="88">
        <v>1</v>
      </c>
      <c r="C69" s="84" t="s">
        <v>68</v>
      </c>
      <c r="D69" s="89">
        <v>26</v>
      </c>
      <c r="E69" s="38">
        <v>15</v>
      </c>
      <c r="F69" s="38"/>
      <c r="G69" s="38"/>
      <c r="H69" s="38"/>
      <c r="I69" s="38"/>
      <c r="J69" s="17"/>
      <c r="K69" s="12"/>
    </row>
    <row r="70" spans="1:11" ht="19.149999999999999" customHeight="1" thickBot="1" x14ac:dyDescent="0.3">
      <c r="A70" s="149"/>
      <c r="B70" s="59">
        <v>2</v>
      </c>
      <c r="C70" s="63" t="s">
        <v>89</v>
      </c>
      <c r="D70" s="87">
        <v>4</v>
      </c>
      <c r="E70" s="35">
        <v>3</v>
      </c>
      <c r="F70" s="35"/>
      <c r="G70" s="35"/>
      <c r="H70" s="35"/>
      <c r="I70" s="35">
        <f>SUM(E69+E70)</f>
        <v>18</v>
      </c>
      <c r="J70" s="17"/>
      <c r="K70" s="12"/>
    </row>
    <row r="71" spans="1:11" ht="12.95" customHeight="1" x14ac:dyDescent="0.25">
      <c r="A71" s="6"/>
      <c r="B71" s="6"/>
      <c r="C71" s="6"/>
      <c r="D71" s="6"/>
      <c r="E71" s="6"/>
      <c r="F71" s="6"/>
      <c r="G71" s="6"/>
      <c r="H71" s="6"/>
      <c r="I71" s="6"/>
      <c r="J71" s="4"/>
    </row>
    <row r="72" spans="1:11" x14ac:dyDescent="0.25">
      <c r="A72" s="5"/>
      <c r="B72" s="5"/>
      <c r="C72" s="5"/>
      <c r="D72" s="5"/>
      <c r="E72" s="5"/>
      <c r="F72" s="5"/>
      <c r="G72" s="5"/>
      <c r="H72" s="5"/>
      <c r="I72" s="5"/>
      <c r="J72" s="4"/>
    </row>
    <row r="73" spans="1:11" x14ac:dyDescent="0.25">
      <c r="A73" s="125" t="s">
        <v>118</v>
      </c>
      <c r="B73" s="125"/>
      <c r="C73" s="125"/>
      <c r="D73" s="125"/>
      <c r="E73" s="125"/>
      <c r="F73" s="125"/>
      <c r="G73" s="125"/>
      <c r="H73" s="125"/>
      <c r="I73" s="125"/>
      <c r="J73" s="4"/>
    </row>
    <row r="74" spans="1:11" ht="28.9" customHeight="1" x14ac:dyDescent="0.25">
      <c r="A74" s="5"/>
      <c r="B74" s="5"/>
      <c r="C74" s="5"/>
      <c r="D74" s="126" t="s">
        <v>16</v>
      </c>
      <c r="E74" s="126"/>
      <c r="F74" s="126"/>
      <c r="G74" s="126"/>
      <c r="H74" s="126"/>
      <c r="I74" s="126"/>
      <c r="J74" s="4"/>
    </row>
    <row r="75" spans="1:11" ht="13.5" customHeight="1" x14ac:dyDescent="0.25">
      <c r="A75" s="93"/>
      <c r="B75" s="93"/>
      <c r="C75" s="93"/>
      <c r="D75" s="5"/>
      <c r="E75" s="5"/>
      <c r="F75" s="5"/>
      <c r="G75" s="5"/>
      <c r="H75" s="5"/>
      <c r="I75" s="5"/>
      <c r="J75" s="4"/>
    </row>
    <row r="76" spans="1:11" x14ac:dyDescent="0.25">
      <c r="A76" s="122" t="s">
        <v>124</v>
      </c>
      <c r="B76" s="122"/>
      <c r="C76" s="122"/>
      <c r="D76" s="5"/>
      <c r="E76" s="5"/>
      <c r="F76" s="5"/>
      <c r="G76" s="5"/>
      <c r="H76" s="5"/>
      <c r="I76" s="5"/>
      <c r="J76" s="4"/>
    </row>
    <row r="77" spans="1:1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3"/>
    </row>
    <row r="78" spans="1:1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3"/>
    </row>
    <row r="79" spans="1:1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3"/>
    </row>
    <row r="80" spans="1:1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3"/>
    </row>
    <row r="81" spans="1:1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3"/>
    </row>
    <row r="82" spans="1:1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3"/>
    </row>
    <row r="83" spans="1:1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3"/>
    </row>
    <row r="84" spans="1:1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3"/>
    </row>
    <row r="85" spans="1:1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3"/>
    </row>
    <row r="86" spans="1:1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3"/>
    </row>
    <row r="87" spans="1:1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3"/>
    </row>
    <row r="88" spans="1:1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</row>
    <row r="98" spans="6:6" x14ac:dyDescent="0.25">
      <c r="F98" t="s">
        <v>17</v>
      </c>
    </row>
  </sheetData>
  <mergeCells count="13">
    <mergeCell ref="A14:A19"/>
    <mergeCell ref="A20:A25"/>
    <mergeCell ref="A26:A32"/>
    <mergeCell ref="A33:A39"/>
    <mergeCell ref="A49:A55"/>
    <mergeCell ref="A40:A46"/>
    <mergeCell ref="A76:C76"/>
    <mergeCell ref="A56:A61"/>
    <mergeCell ref="A62:A66"/>
    <mergeCell ref="A67:A68"/>
    <mergeCell ref="A69:A70"/>
    <mergeCell ref="A73:I73"/>
    <mergeCell ref="D74:I74"/>
  </mergeCells>
  <pageMargins left="0.56999999999999995" right="0.27559055118110237" top="0.43307086614173229" bottom="0.2" header="0.31496062992125984" footer="0.31496062992125984"/>
  <pageSetup paperSize="9" scale="91" orientation="portrait" horizontalDpi="4294967294" verticalDpi="300" r:id="rId1"/>
  <rowBreaks count="2" manualBreakCount="2">
    <brk id="46" max="8" man="1"/>
    <brk id="85" max="16383" man="1"/>
  </rowBreaks>
  <colBreaks count="1" manualBreakCount="1">
    <brk id="9" max="8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4</vt:i4>
      </vt:variant>
    </vt:vector>
  </HeadingPairs>
  <TitlesOfParts>
    <vt:vector size="8" baseType="lpstr">
      <vt:lpstr>INICIAL 2020</vt:lpstr>
      <vt:lpstr>PRIMARIA 2020 </vt:lpstr>
      <vt:lpstr>ED. FISICA 2020</vt:lpstr>
      <vt:lpstr>COMUNICACIÓN 2020 </vt:lpstr>
      <vt:lpstr>'COMUNICACIÓN 2020 '!Área_de_impresión</vt:lpstr>
      <vt:lpstr>'ED. FISICA 2020'!Área_de_impresión</vt:lpstr>
      <vt:lpstr>'INICIAL 2020'!Área_de_impresión</vt:lpstr>
      <vt:lpstr>'PRIMARIA 2020 '!Área_de_impresión</vt:lpstr>
    </vt:vector>
  </TitlesOfParts>
  <Company>secretaria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Janeth</dc:creator>
  <cp:lastModifiedBy>KEVIN GARCIA</cp:lastModifiedBy>
  <cp:lastPrinted>2025-09-23T15:12:38Z</cp:lastPrinted>
  <dcterms:created xsi:type="dcterms:W3CDTF">2012-03-01T09:35:12Z</dcterms:created>
  <dcterms:modified xsi:type="dcterms:W3CDTF">2026-01-13T06:34:56Z</dcterms:modified>
</cp:coreProperties>
</file>